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never" codeName="Denne_projektmappe"/>
  <mc:AlternateContent xmlns:mc="http://schemas.openxmlformats.org/markup-compatibility/2006">
    <mc:Choice Requires="x15">
      <x15ac:absPath xmlns:x15ac="http://schemas.microsoft.com/office/spreadsheetml/2010/11/ac" url="https://arteliagroupdk-my.sharepoint.com/personal/auth_arteliagroup_dk/Documents/Små projekter/Cost database dev/"/>
    </mc:Choice>
  </mc:AlternateContent>
  <xr:revisionPtr revIDLastSave="1" documentId="13_ncr:1_{ABDAF29F-63B1-4D0B-99A9-CDF38CDDE9B5}" xr6:coauthVersionLast="47" xr6:coauthVersionMax="47" xr10:uidLastSave="{5A980F5A-6605-4819-A6EF-1E0EA54180E7}"/>
  <bookViews>
    <workbookView xWindow="28680" yWindow="-120" windowWidth="29040" windowHeight="17520" activeTab="6" xr2:uid="{B89595EF-1ABE-49B0-A32D-573EFE7DC96D}"/>
  </bookViews>
  <sheets>
    <sheet name="Niveau_1" sheetId="92" r:id="rId1"/>
    <sheet name="Niveau_2" sheetId="90" r:id="rId2"/>
    <sheet name="Xlookup_back" sheetId="93" r:id="rId3"/>
    <sheet name="Xlookup_frem" sheetId="94" r:id="rId4"/>
    <sheet name="Niveau_3" sheetId="91" r:id="rId5"/>
    <sheet name="Central_classifikation" sheetId="2" r:id="rId6"/>
    <sheet name="Template" sheetId="54" r:id="rId7"/>
    <sheet name="Central template" sheetId="56" r:id="rId8"/>
    <sheet name="MOE2" sheetId="49" r:id="rId9"/>
  </sheets>
  <definedNames>
    <definedName name="_xlnm._FilterDatabase" localSheetId="5" hidden="1">Central_classifikation!$B$3:$E$402</definedName>
    <definedName name="_xlnm._FilterDatabase" localSheetId="0" hidden="1">Niveau_1!$B$3:$E$402</definedName>
    <definedName name="_xlnm._FilterDatabase" localSheetId="1" hidden="1">Niveau_2!$B$3:$E$402</definedName>
    <definedName name="_xlnm._FilterDatabase" localSheetId="4" hidden="1">Niveau_3!$B$3:$E$402</definedName>
    <definedName name="_xlnm._FilterDatabase" localSheetId="6" hidden="1">Template!$A$1:$AQ$5</definedName>
    <definedName name="AnonymBolig3">#REF!</definedName>
    <definedName name="AnonymBolig4">#REF!</definedName>
    <definedName name="Indeks_info">#REF!</definedName>
    <definedName name="Indeks_tabel">#REF!</definedName>
    <definedName name="IndeksInfoTable">#REF!</definedName>
    <definedName name="MCD_FCM">#REF!</definedName>
    <definedName name="Projekter_inf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54" l="1"/>
  <c r="Z4" i="54"/>
  <c r="Z5" i="54"/>
  <c r="Z6" i="54"/>
  <c r="Z3" i="54"/>
  <c r="S3" i="54"/>
  <c r="S4" i="54"/>
  <c r="T4" i="54" s="1"/>
  <c r="U4" i="54" s="1"/>
  <c r="S5" i="54"/>
  <c r="T5" i="54"/>
  <c r="U5" i="54" s="1"/>
  <c r="S6" i="54"/>
  <c r="T6" i="54"/>
  <c r="U6" i="54"/>
  <c r="V6" i="54"/>
  <c r="V5" i="54"/>
  <c r="V4" i="54"/>
  <c r="V3" i="54"/>
  <c r="AJ3" i="54"/>
  <c r="AF3" i="54" a="1"/>
  <c r="AF3" i="54" s="1"/>
  <c r="AG3" i="54" a="1"/>
  <c r="AG3" i="54" s="1"/>
  <c r="AG4" i="54" a="1"/>
  <c r="AG4" i="54" s="1"/>
  <c r="AG5" i="54" a="1"/>
  <c r="AG5" i="54" s="1"/>
  <c r="AG6" i="54" a="1"/>
  <c r="AG6" i="54" s="1"/>
  <c r="AI6" i="54"/>
  <c r="AI5" i="54"/>
  <c r="AI3" i="54"/>
  <c r="AF6" i="54" a="1"/>
  <c r="AF6" i="54" s="1"/>
  <c r="AF5" i="54" a="1"/>
  <c r="AF5" i="54" s="1"/>
  <c r="E4" i="94" a="1"/>
  <c r="E4" i="94" s="1"/>
  <c r="F46" i="94" l="1" a="1"/>
  <c r="F46" i="94" s="1"/>
  <c r="F47" i="94" s="1" a="1"/>
  <c r="F47" i="94" s="1"/>
  <c r="D4" i="93"/>
  <c r="D5" i="93"/>
  <c r="D6" i="93"/>
  <c r="D7" i="93"/>
  <c r="D8" i="93"/>
  <c r="D9" i="93"/>
  <c r="D10" i="93"/>
  <c r="D11" i="93"/>
  <c r="D12" i="93"/>
  <c r="D13" i="93"/>
  <c r="D14" i="93"/>
  <c r="D15" i="93"/>
  <c r="D16" i="93"/>
  <c r="D17" i="93"/>
  <c r="D18" i="93"/>
  <c r="D19" i="93"/>
  <c r="D20" i="93"/>
  <c r="D21" i="93"/>
  <c r="D22" i="93"/>
  <c r="D23" i="93"/>
  <c r="D24" i="93"/>
  <c r="D25" i="93"/>
  <c r="D26" i="93"/>
  <c r="D27" i="93"/>
  <c r="D28" i="93"/>
  <c r="D29" i="93"/>
  <c r="D30" i="93"/>
  <c r="D31" i="93"/>
  <c r="D32" i="93"/>
  <c r="D33" i="93"/>
  <c r="D34" i="93"/>
  <c r="D35" i="93"/>
  <c r="D36" i="93"/>
  <c r="D37" i="93"/>
  <c r="D38" i="93"/>
  <c r="D39" i="93"/>
  <c r="D40" i="93"/>
  <c r="D41" i="93"/>
  <c r="D42" i="93"/>
  <c r="D43" i="93"/>
  <c r="D44" i="93"/>
  <c r="D45" i="93"/>
  <c r="D46" i="93"/>
  <c r="D47" i="93"/>
  <c r="D48" i="93"/>
  <c r="D49" i="93"/>
  <c r="D50" i="93"/>
  <c r="D51" i="93"/>
  <c r="D52" i="93"/>
  <c r="D53" i="93"/>
  <c r="D54" i="93"/>
  <c r="D55" i="93"/>
  <c r="D56" i="93"/>
  <c r="D57" i="93"/>
  <c r="D58" i="93"/>
  <c r="D59" i="93"/>
  <c r="D60" i="93"/>
  <c r="D61" i="93"/>
  <c r="D62" i="93"/>
  <c r="D63" i="93"/>
  <c r="D64" i="93"/>
  <c r="D65" i="93"/>
  <c r="D66" i="93"/>
  <c r="D67" i="93"/>
  <c r="D68" i="93"/>
  <c r="D69" i="93"/>
  <c r="D70" i="93"/>
  <c r="D71" i="93"/>
  <c r="D72" i="93"/>
  <c r="D73" i="93"/>
  <c r="D74" i="93"/>
  <c r="D75" i="93"/>
  <c r="D76" i="93"/>
  <c r="D77" i="93"/>
  <c r="D78" i="93"/>
  <c r="D79" i="93"/>
  <c r="D80" i="93"/>
  <c r="D81" i="93"/>
  <c r="D82" i="93"/>
  <c r="D83" i="93"/>
  <c r="D84" i="93"/>
  <c r="D85" i="93"/>
  <c r="D86" i="93"/>
  <c r="D87" i="93"/>
  <c r="D88" i="93"/>
  <c r="D89" i="93"/>
  <c r="D90" i="93"/>
  <c r="D3" i="93"/>
  <c r="N408" i="91"/>
  <c r="G411" i="90"/>
  <c r="B5" i="92"/>
  <c r="B6" i="92" s="1"/>
  <c r="B7" i="92" s="1"/>
  <c r="B8" i="92" s="1"/>
  <c r="B9" i="92" s="1"/>
  <c r="B10" i="92" s="1"/>
  <c r="B11" i="92" s="1"/>
  <c r="B12" i="92" s="1"/>
  <c r="B13" i="92" s="1"/>
  <c r="B14" i="92" s="1"/>
  <c r="B15" i="92" s="1"/>
  <c r="B16" i="92" s="1"/>
  <c r="B17" i="92" s="1"/>
  <c r="B18" i="92" s="1"/>
  <c r="B19" i="92" s="1"/>
  <c r="B20" i="92" s="1"/>
  <c r="B21" i="92" s="1"/>
  <c r="B22" i="92" s="1"/>
  <c r="B23" i="92" s="1"/>
  <c r="B24" i="92" s="1"/>
  <c r="B25" i="92" s="1"/>
  <c r="B26" i="92" s="1"/>
  <c r="B27" i="92" s="1"/>
  <c r="B28" i="92" s="1"/>
  <c r="B29" i="92" s="1"/>
  <c r="B30" i="92" s="1"/>
  <c r="B31" i="92" s="1"/>
  <c r="B32" i="92" s="1"/>
  <c r="B33" i="92" s="1"/>
  <c r="B34" i="92" s="1"/>
  <c r="B35" i="92" s="1"/>
  <c r="B36" i="92" s="1"/>
  <c r="B37" i="92" s="1"/>
  <c r="B38" i="92" s="1"/>
  <c r="B39" i="92" s="1"/>
  <c r="B40" i="92" s="1"/>
  <c r="B41" i="92" s="1"/>
  <c r="B42" i="92" s="1"/>
  <c r="B43" i="92" s="1"/>
  <c r="B44" i="92" s="1"/>
  <c r="B45" i="92" s="1"/>
  <c r="B46" i="92" s="1"/>
  <c r="B47" i="92" s="1"/>
  <c r="B48" i="92" s="1"/>
  <c r="B49" i="92" s="1"/>
  <c r="B50" i="92" s="1"/>
  <c r="B51" i="92" s="1"/>
  <c r="B52" i="92" s="1"/>
  <c r="B53" i="92" s="1"/>
  <c r="B54" i="92" s="1"/>
  <c r="B55" i="92" s="1"/>
  <c r="B56" i="92" s="1"/>
  <c r="B57" i="92" s="1"/>
  <c r="B58" i="92" s="1"/>
  <c r="B59" i="92" s="1"/>
  <c r="B60" i="92" s="1"/>
  <c r="B61" i="92" s="1"/>
  <c r="B62" i="92" s="1"/>
  <c r="B63" i="92" s="1"/>
  <c r="B64" i="92" s="1"/>
  <c r="B65" i="92" s="1"/>
  <c r="B66" i="92" s="1"/>
  <c r="B67" i="92" s="1"/>
  <c r="B68" i="92" s="1"/>
  <c r="B69" i="92" s="1"/>
  <c r="B70" i="92" s="1"/>
  <c r="B71" i="92" s="1"/>
  <c r="B72" i="92" s="1"/>
  <c r="B73" i="92" s="1"/>
  <c r="B74" i="92" s="1"/>
  <c r="B75" i="92" s="1"/>
  <c r="B76" i="92" s="1"/>
  <c r="B77" i="92" s="1"/>
  <c r="B78" i="92" s="1"/>
  <c r="B79" i="92" s="1"/>
  <c r="B80" i="92" s="1"/>
  <c r="B81" i="92" s="1"/>
  <c r="B82" i="92" s="1"/>
  <c r="B83" i="92" s="1"/>
  <c r="B84" i="92" s="1"/>
  <c r="B85" i="92" s="1"/>
  <c r="B86" i="92" s="1"/>
  <c r="B87" i="92" s="1"/>
  <c r="B88" i="92" s="1"/>
  <c r="B89" i="92" s="1"/>
  <c r="B90" i="92" s="1"/>
  <c r="B91" i="92" s="1"/>
  <c r="B92" i="92" s="1"/>
  <c r="B93" i="92" s="1"/>
  <c r="B94" i="92" s="1"/>
  <c r="B95" i="92" s="1"/>
  <c r="B96" i="92" s="1"/>
  <c r="B97" i="92" s="1"/>
  <c r="B98" i="92" s="1"/>
  <c r="B99" i="92" s="1"/>
  <c r="B100" i="92" s="1"/>
  <c r="B101" i="92" s="1"/>
  <c r="B102" i="92" s="1"/>
  <c r="B103" i="92" s="1"/>
  <c r="B104" i="92" s="1"/>
  <c r="B105" i="92" s="1"/>
  <c r="B106" i="92" s="1"/>
  <c r="B107" i="92" s="1"/>
  <c r="B108" i="92" s="1"/>
  <c r="B109" i="92" s="1"/>
  <c r="B110" i="92" s="1"/>
  <c r="B111" i="92" s="1"/>
  <c r="B112" i="92" s="1"/>
  <c r="B113" i="92" s="1"/>
  <c r="B114" i="92" s="1"/>
  <c r="B115" i="92" s="1"/>
  <c r="B116" i="92" s="1"/>
  <c r="B117" i="92" s="1"/>
  <c r="B118" i="92" s="1"/>
  <c r="B119" i="92" s="1"/>
  <c r="B120" i="92" s="1"/>
  <c r="B121" i="92" s="1"/>
  <c r="B122" i="92" s="1"/>
  <c r="B123" i="92" s="1"/>
  <c r="B124" i="92" s="1"/>
  <c r="B125" i="92" s="1"/>
  <c r="B126" i="92" s="1"/>
  <c r="B127" i="92" s="1"/>
  <c r="B128" i="92" s="1"/>
  <c r="B129" i="92" s="1"/>
  <c r="B130" i="92" s="1"/>
  <c r="B131" i="92" s="1"/>
  <c r="B132" i="92" s="1"/>
  <c r="B133" i="92" s="1"/>
  <c r="B134" i="92" s="1"/>
  <c r="B135" i="92" s="1"/>
  <c r="B136" i="92" s="1"/>
  <c r="B137" i="92" s="1"/>
  <c r="B138" i="92" s="1"/>
  <c r="B139" i="92" s="1"/>
  <c r="B140" i="92" s="1"/>
  <c r="B141" i="92" s="1"/>
  <c r="B142" i="92" s="1"/>
  <c r="B143" i="92" s="1"/>
  <c r="B144" i="92" s="1"/>
  <c r="B145" i="92" s="1"/>
  <c r="B146" i="92" s="1"/>
  <c r="B147" i="92" s="1"/>
  <c r="B148" i="92" s="1"/>
  <c r="B149" i="92" s="1"/>
  <c r="B150" i="92" s="1"/>
  <c r="B151" i="92" s="1"/>
  <c r="B152" i="92" s="1"/>
  <c r="B153" i="92" s="1"/>
  <c r="B154" i="92" s="1"/>
  <c r="B155" i="92" s="1"/>
  <c r="B156" i="92" s="1"/>
  <c r="B157" i="92" s="1"/>
  <c r="B158" i="92" s="1"/>
  <c r="B159" i="92" s="1"/>
  <c r="B160" i="92" s="1"/>
  <c r="B161" i="92" s="1"/>
  <c r="B162" i="92" s="1"/>
  <c r="B163" i="92" s="1"/>
  <c r="B164" i="92" s="1"/>
  <c r="B165" i="92" s="1"/>
  <c r="B166" i="92" s="1"/>
  <c r="B167" i="92" s="1"/>
  <c r="B168" i="92" s="1"/>
  <c r="B169" i="92" s="1"/>
  <c r="B170" i="92" s="1"/>
  <c r="B171" i="92" s="1"/>
  <c r="B172" i="92" s="1"/>
  <c r="B173" i="92" s="1"/>
  <c r="B174" i="92" s="1"/>
  <c r="B175" i="92" s="1"/>
  <c r="B176" i="92" s="1"/>
  <c r="B177" i="92" s="1"/>
  <c r="B178" i="92" s="1"/>
  <c r="B179" i="92" s="1"/>
  <c r="B180" i="92" s="1"/>
  <c r="B181" i="92" s="1"/>
  <c r="B182" i="92" s="1"/>
  <c r="B183" i="92" s="1"/>
  <c r="B184" i="92" s="1"/>
  <c r="B185" i="92" s="1"/>
  <c r="B186" i="92" s="1"/>
  <c r="B187" i="92" s="1"/>
  <c r="B188" i="92" s="1"/>
  <c r="B189" i="92" s="1"/>
  <c r="B190" i="92" s="1"/>
  <c r="B191" i="92" s="1"/>
  <c r="B192" i="92" s="1"/>
  <c r="B193" i="92" s="1"/>
  <c r="B194" i="92" s="1"/>
  <c r="B195" i="92" s="1"/>
  <c r="B196" i="92" s="1"/>
  <c r="B197" i="92" s="1"/>
  <c r="B198" i="92" s="1"/>
  <c r="B199" i="92" s="1"/>
  <c r="B200" i="92" s="1"/>
  <c r="B201" i="92" s="1"/>
  <c r="B202" i="92" s="1"/>
  <c r="B203" i="92" s="1"/>
  <c r="B204" i="92" s="1"/>
  <c r="B205" i="92" s="1"/>
  <c r="B206" i="92" s="1"/>
  <c r="B207" i="92" s="1"/>
  <c r="B208" i="92" s="1"/>
  <c r="B209" i="92" s="1"/>
  <c r="B210" i="92" s="1"/>
  <c r="B211" i="92" s="1"/>
  <c r="B212" i="92" s="1"/>
  <c r="B213" i="92" s="1"/>
  <c r="B214" i="92" s="1"/>
  <c r="B215" i="92" s="1"/>
  <c r="B216" i="92" s="1"/>
  <c r="B217" i="92" s="1"/>
  <c r="B218" i="92" s="1"/>
  <c r="B219" i="92" s="1"/>
  <c r="B220" i="92" s="1"/>
  <c r="B221" i="92" s="1"/>
  <c r="B222" i="92" s="1"/>
  <c r="B223" i="92" s="1"/>
  <c r="B224" i="92" s="1"/>
  <c r="B225" i="92" s="1"/>
  <c r="B226" i="92" s="1"/>
  <c r="B227" i="92" s="1"/>
  <c r="B228" i="92" s="1"/>
  <c r="B229" i="92" s="1"/>
  <c r="B230" i="92" s="1"/>
  <c r="B231" i="92" s="1"/>
  <c r="B232" i="92" s="1"/>
  <c r="B233" i="92" s="1"/>
  <c r="B234" i="92" s="1"/>
  <c r="B235" i="92" s="1"/>
  <c r="B236" i="92" s="1"/>
  <c r="B237" i="92" s="1"/>
  <c r="B238" i="92" s="1"/>
  <c r="B239" i="92" s="1"/>
  <c r="B240" i="92" s="1"/>
  <c r="B241" i="92" s="1"/>
  <c r="B242" i="92" s="1"/>
  <c r="B243" i="92" s="1"/>
  <c r="B244" i="92" s="1"/>
  <c r="B245" i="92" s="1"/>
  <c r="B246" i="92" s="1"/>
  <c r="B247" i="92" s="1"/>
  <c r="B248" i="92" s="1"/>
  <c r="B249" i="92" s="1"/>
  <c r="B250" i="92" s="1"/>
  <c r="B251" i="92" s="1"/>
  <c r="B252" i="92" s="1"/>
  <c r="B253" i="92" s="1"/>
  <c r="B254" i="92" s="1"/>
  <c r="B255" i="92" s="1"/>
  <c r="B256" i="92" s="1"/>
  <c r="B257" i="92" s="1"/>
  <c r="B258" i="92" s="1"/>
  <c r="B259" i="92" s="1"/>
  <c r="B260" i="92" s="1"/>
  <c r="B261" i="92" s="1"/>
  <c r="B262" i="92" s="1"/>
  <c r="B263" i="92" s="1"/>
  <c r="B264" i="92" s="1"/>
  <c r="B265" i="92" s="1"/>
  <c r="B266" i="92" s="1"/>
  <c r="B267" i="92" s="1"/>
  <c r="B268" i="92" s="1"/>
  <c r="B269" i="92" s="1"/>
  <c r="B270" i="92" s="1"/>
  <c r="B271" i="92" s="1"/>
  <c r="B272" i="92" s="1"/>
  <c r="B273" i="92" s="1"/>
  <c r="B274" i="92" s="1"/>
  <c r="B275" i="92" s="1"/>
  <c r="B276" i="92" s="1"/>
  <c r="B277" i="92" s="1"/>
  <c r="B278" i="92" s="1"/>
  <c r="B279" i="92" s="1"/>
  <c r="B280" i="92" s="1"/>
  <c r="B281" i="92" s="1"/>
  <c r="B282" i="92" s="1"/>
  <c r="B283" i="92" s="1"/>
  <c r="B284" i="92" s="1"/>
  <c r="B285" i="92" s="1"/>
  <c r="B286" i="92" s="1"/>
  <c r="B287" i="92" s="1"/>
  <c r="B288" i="92" s="1"/>
  <c r="B289" i="92" s="1"/>
  <c r="B290" i="92" s="1"/>
  <c r="B291" i="92" s="1"/>
  <c r="B292" i="92" s="1"/>
  <c r="B293" i="92" s="1"/>
  <c r="B294" i="92" s="1"/>
  <c r="B295" i="92" s="1"/>
  <c r="B296" i="92" s="1"/>
  <c r="B297" i="92" s="1"/>
  <c r="B298" i="92" s="1"/>
  <c r="B299" i="92" s="1"/>
  <c r="B300" i="92" s="1"/>
  <c r="B301" i="92" s="1"/>
  <c r="B302" i="92" s="1"/>
  <c r="B303" i="92" s="1"/>
  <c r="B304" i="92" s="1"/>
  <c r="B305" i="92" s="1"/>
  <c r="B306" i="92" s="1"/>
  <c r="B307" i="92" s="1"/>
  <c r="B308" i="92" s="1"/>
  <c r="B309" i="92" s="1"/>
  <c r="B310" i="92" s="1"/>
  <c r="B311" i="92" s="1"/>
  <c r="B312" i="92" s="1"/>
  <c r="B313" i="92" s="1"/>
  <c r="B314" i="92" s="1"/>
  <c r="B315" i="92" s="1"/>
  <c r="B316" i="92" s="1"/>
  <c r="B317" i="92" s="1"/>
  <c r="B318" i="92" s="1"/>
  <c r="B319" i="92" s="1"/>
  <c r="B320" i="92" s="1"/>
  <c r="B321" i="92" s="1"/>
  <c r="B322" i="92" s="1"/>
  <c r="B323" i="92" s="1"/>
  <c r="B324" i="92" s="1"/>
  <c r="B325" i="92" s="1"/>
  <c r="B326" i="92" s="1"/>
  <c r="B327" i="92" s="1"/>
  <c r="B328" i="92" s="1"/>
  <c r="B329" i="92" s="1"/>
  <c r="B330" i="92" s="1"/>
  <c r="B331" i="92" s="1"/>
  <c r="B332" i="92" s="1"/>
  <c r="B333" i="92" s="1"/>
  <c r="B334" i="92" s="1"/>
  <c r="B335" i="92" s="1"/>
  <c r="B336" i="92" s="1"/>
  <c r="B337" i="92" s="1"/>
  <c r="B338" i="92" s="1"/>
  <c r="B339" i="92" s="1"/>
  <c r="B340" i="92" s="1"/>
  <c r="B341" i="92" s="1"/>
  <c r="B342" i="92" s="1"/>
  <c r="B343" i="92" s="1"/>
  <c r="B344" i="92" s="1"/>
  <c r="B345" i="92" s="1"/>
  <c r="B346" i="92" s="1"/>
  <c r="B347" i="92" s="1"/>
  <c r="B348" i="92" s="1"/>
  <c r="B349" i="92" s="1"/>
  <c r="B350" i="92" s="1"/>
  <c r="B351" i="92" s="1"/>
  <c r="B352" i="92" s="1"/>
  <c r="B353" i="92" s="1"/>
  <c r="B354" i="92" s="1"/>
  <c r="B355" i="92" s="1"/>
  <c r="B356" i="92" s="1"/>
  <c r="B357" i="92" s="1"/>
  <c r="B358" i="92" s="1"/>
  <c r="B359" i="92" s="1"/>
  <c r="B360" i="92" s="1"/>
  <c r="B361" i="92" s="1"/>
  <c r="B362" i="92" s="1"/>
  <c r="B363" i="92" s="1"/>
  <c r="B364" i="92" s="1"/>
  <c r="B365" i="92" s="1"/>
  <c r="B366" i="92" s="1"/>
  <c r="B367" i="92" s="1"/>
  <c r="B368" i="92" s="1"/>
  <c r="B369" i="92" s="1"/>
  <c r="B370" i="92" s="1"/>
  <c r="B371" i="92" s="1"/>
  <c r="B372" i="92" s="1"/>
  <c r="B373" i="92" s="1"/>
  <c r="B374" i="92" s="1"/>
  <c r="B375" i="92" s="1"/>
  <c r="B376" i="92" s="1"/>
  <c r="B377" i="92" s="1"/>
  <c r="B378" i="92" s="1"/>
  <c r="B379" i="92" s="1"/>
  <c r="B380" i="92" s="1"/>
  <c r="B381" i="92" s="1"/>
  <c r="B382" i="92" s="1"/>
  <c r="B383" i="92" s="1"/>
  <c r="B384" i="92" s="1"/>
  <c r="B385" i="92" s="1"/>
  <c r="B386" i="92" s="1"/>
  <c r="B387" i="92" s="1"/>
  <c r="B388" i="92" s="1"/>
  <c r="B389" i="92" s="1"/>
  <c r="B390" i="92" s="1"/>
  <c r="B391" i="92" s="1"/>
  <c r="B392" i="92" s="1"/>
  <c r="B393" i="92" s="1"/>
  <c r="B394" i="92" s="1"/>
  <c r="B395" i="92" s="1"/>
  <c r="B396" i="92" s="1"/>
  <c r="B397" i="92" s="1"/>
  <c r="B398" i="92" s="1"/>
  <c r="B399" i="92" s="1"/>
  <c r="B400" i="92" s="1"/>
  <c r="B401" i="92" s="1"/>
  <c r="B402" i="92" s="1"/>
  <c r="B403" i="92" s="1"/>
  <c r="B404" i="92" s="1"/>
  <c r="G398" i="91" a="1"/>
  <c r="G398" i="91" s="1"/>
  <c r="G393" i="91" a="1"/>
  <c r="G393" i="91" s="1"/>
  <c r="G380" i="91" a="1"/>
  <c r="G380" i="91" s="1"/>
  <c r="G363" i="91" a="1"/>
  <c r="G363" i="91" s="1"/>
  <c r="G350" i="91" a="1"/>
  <c r="G350" i="91" s="1"/>
  <c r="G342" i="91" a="1"/>
  <c r="G342" i="91" s="1"/>
  <c r="G336" i="91" a="1"/>
  <c r="G336" i="91" s="1"/>
  <c r="G332" i="91" a="1"/>
  <c r="G332" i="91" s="1"/>
  <c r="G324" i="91" a="1"/>
  <c r="G324" i="91" s="1"/>
  <c r="G288" i="91" a="1"/>
  <c r="G288" i="91" s="1"/>
  <c r="G277" i="91" a="1"/>
  <c r="G277" i="91" s="1"/>
  <c r="G161" i="91" a="1"/>
  <c r="G161" i="91" s="1"/>
  <c r="G144" i="91" a="1"/>
  <c r="G144" i="91" s="1"/>
  <c r="G136" i="91" a="1"/>
  <c r="G136" i="91" s="1"/>
  <c r="G115" i="91" a="1"/>
  <c r="G115" i="91" s="1"/>
  <c r="G105" i="91" a="1"/>
  <c r="G105" i="91" s="1"/>
  <c r="G85" i="91" a="1"/>
  <c r="G85" i="91" s="1"/>
  <c r="G77" i="91" a="1"/>
  <c r="G77" i="91" s="1"/>
  <c r="G74" i="91" a="1"/>
  <c r="G74" i="91" s="1"/>
  <c r="G53" i="91" a="1"/>
  <c r="G53" i="91" s="1"/>
  <c r="G34" i="91" a="1"/>
  <c r="G34" i="91" s="1"/>
  <c r="G19" i="91" a="1"/>
  <c r="G19" i="91" s="1"/>
  <c r="G5" i="91" a="1"/>
  <c r="G5" i="91" s="1"/>
  <c r="V13" i="92"/>
  <c r="W13" i="92" s="1"/>
  <c r="B5" i="91"/>
  <c r="B6" i="91" s="1"/>
  <c r="B7" i="91" s="1"/>
  <c r="B8" i="91" s="1"/>
  <c r="B9" i="91" s="1"/>
  <c r="B10" i="91" s="1"/>
  <c r="B11" i="91" s="1"/>
  <c r="B12" i="91" s="1"/>
  <c r="B13" i="91" s="1"/>
  <c r="B14" i="91" s="1"/>
  <c r="B15" i="91" s="1"/>
  <c r="B16" i="91" s="1"/>
  <c r="B17" i="91" s="1"/>
  <c r="B18" i="91" s="1"/>
  <c r="B19" i="91" s="1"/>
  <c r="B20" i="91" s="1"/>
  <c r="B21" i="91" s="1"/>
  <c r="B22" i="91" s="1"/>
  <c r="B23" i="91" s="1"/>
  <c r="B24" i="91" s="1"/>
  <c r="B25" i="91" s="1"/>
  <c r="B26" i="91" s="1"/>
  <c r="B27" i="91" s="1"/>
  <c r="B28" i="91" s="1"/>
  <c r="B29" i="91" s="1"/>
  <c r="B30" i="91" s="1"/>
  <c r="B31" i="91" s="1"/>
  <c r="B32" i="91" s="1"/>
  <c r="B33" i="91" s="1"/>
  <c r="B34" i="91" s="1"/>
  <c r="B35" i="91" s="1"/>
  <c r="B36" i="91" s="1"/>
  <c r="B37" i="91" s="1"/>
  <c r="B38" i="91" s="1"/>
  <c r="B39" i="91" s="1"/>
  <c r="B40" i="91" s="1"/>
  <c r="B41" i="91" s="1"/>
  <c r="B42" i="91" s="1"/>
  <c r="B43" i="91" s="1"/>
  <c r="B44" i="91" s="1"/>
  <c r="B45" i="91" s="1"/>
  <c r="B46" i="91" s="1"/>
  <c r="B47" i="91" s="1"/>
  <c r="B48" i="91" s="1"/>
  <c r="B49" i="91" s="1"/>
  <c r="B50" i="91" s="1"/>
  <c r="B51" i="91" s="1"/>
  <c r="B52" i="91" s="1"/>
  <c r="B53" i="91" s="1"/>
  <c r="B54" i="91" s="1"/>
  <c r="B55" i="91" s="1"/>
  <c r="B56" i="91" s="1"/>
  <c r="B57" i="91" s="1"/>
  <c r="B58" i="91" s="1"/>
  <c r="B59" i="91" s="1"/>
  <c r="B60" i="91" s="1"/>
  <c r="B61" i="91" s="1"/>
  <c r="B62" i="91" s="1"/>
  <c r="B63" i="91" s="1"/>
  <c r="B64" i="91" s="1"/>
  <c r="B65" i="91" s="1"/>
  <c r="B66" i="91" s="1"/>
  <c r="B67" i="91" s="1"/>
  <c r="B68" i="91" s="1"/>
  <c r="B69" i="91" s="1"/>
  <c r="B70" i="91" s="1"/>
  <c r="B71" i="91" s="1"/>
  <c r="B72" i="91" s="1"/>
  <c r="B73" i="91" s="1"/>
  <c r="B74" i="91" s="1"/>
  <c r="B75" i="91" s="1"/>
  <c r="B76" i="91" s="1"/>
  <c r="B77" i="91" s="1"/>
  <c r="B78" i="91" s="1"/>
  <c r="B79" i="91" s="1"/>
  <c r="B80" i="91" s="1"/>
  <c r="B81" i="91" s="1"/>
  <c r="B82" i="91" s="1"/>
  <c r="B83" i="91" s="1"/>
  <c r="B84" i="91" s="1"/>
  <c r="B85" i="91" s="1"/>
  <c r="B86" i="91" s="1"/>
  <c r="B87" i="91" s="1"/>
  <c r="B88" i="91" s="1"/>
  <c r="B89" i="91" s="1"/>
  <c r="B90" i="91" s="1"/>
  <c r="B91" i="91" s="1"/>
  <c r="B92" i="91" s="1"/>
  <c r="B93" i="91" s="1"/>
  <c r="B94" i="91" s="1"/>
  <c r="B95" i="91" s="1"/>
  <c r="B96" i="91" s="1"/>
  <c r="B97" i="91" s="1"/>
  <c r="B98" i="91" s="1"/>
  <c r="B99" i="91" s="1"/>
  <c r="B100" i="91" s="1"/>
  <c r="B101" i="91" s="1"/>
  <c r="B102" i="91" s="1"/>
  <c r="B103" i="91" s="1"/>
  <c r="B104" i="91" s="1"/>
  <c r="B105" i="91" s="1"/>
  <c r="B106" i="91" s="1"/>
  <c r="B107" i="91" s="1"/>
  <c r="B108" i="91" s="1"/>
  <c r="B109" i="91" s="1"/>
  <c r="B110" i="91" s="1"/>
  <c r="B111" i="91" s="1"/>
  <c r="B112" i="91" s="1"/>
  <c r="B113" i="91" s="1"/>
  <c r="B114" i="91" s="1"/>
  <c r="B115" i="91" s="1"/>
  <c r="B116" i="91" s="1"/>
  <c r="B117" i="91" s="1"/>
  <c r="B118" i="91" s="1"/>
  <c r="B119" i="91" s="1"/>
  <c r="B120" i="91" s="1"/>
  <c r="B121" i="91" s="1"/>
  <c r="B122" i="91" s="1"/>
  <c r="B123" i="91" s="1"/>
  <c r="B124" i="91" s="1"/>
  <c r="B125" i="91" s="1"/>
  <c r="B126" i="91" s="1"/>
  <c r="B127" i="91" s="1"/>
  <c r="B128" i="91" s="1"/>
  <c r="B129" i="91" s="1"/>
  <c r="B130" i="91" s="1"/>
  <c r="B131" i="91" s="1"/>
  <c r="B132" i="91" s="1"/>
  <c r="B133" i="91" s="1"/>
  <c r="B134" i="91" s="1"/>
  <c r="B135" i="91" s="1"/>
  <c r="B136" i="91" s="1"/>
  <c r="B137" i="91" s="1"/>
  <c r="B138" i="91" s="1"/>
  <c r="B139" i="91" s="1"/>
  <c r="B140" i="91" s="1"/>
  <c r="B141" i="91" s="1"/>
  <c r="B142" i="91" s="1"/>
  <c r="B143" i="91" s="1"/>
  <c r="B144" i="91" s="1"/>
  <c r="B145" i="91" s="1"/>
  <c r="B146" i="91" s="1"/>
  <c r="B147" i="91" s="1"/>
  <c r="B148" i="91" s="1"/>
  <c r="B149" i="91" s="1"/>
  <c r="B150" i="91" s="1"/>
  <c r="B151" i="91" s="1"/>
  <c r="B152" i="91" s="1"/>
  <c r="B153" i="91" s="1"/>
  <c r="B154" i="91" s="1"/>
  <c r="B155" i="91" s="1"/>
  <c r="B156" i="91" s="1"/>
  <c r="B157" i="91" s="1"/>
  <c r="B158" i="91" s="1"/>
  <c r="B159" i="91" s="1"/>
  <c r="B160" i="91" s="1"/>
  <c r="B161" i="91" s="1"/>
  <c r="B162" i="91" s="1"/>
  <c r="B163" i="91" s="1"/>
  <c r="B164" i="91" s="1"/>
  <c r="B165" i="91" s="1"/>
  <c r="B166" i="91" s="1"/>
  <c r="B167" i="91" s="1"/>
  <c r="B168" i="91" s="1"/>
  <c r="B169" i="91" s="1"/>
  <c r="B170" i="91" s="1"/>
  <c r="B171" i="91" s="1"/>
  <c r="B172" i="91" s="1"/>
  <c r="B173" i="91" s="1"/>
  <c r="B174" i="91" s="1"/>
  <c r="B175" i="91" s="1"/>
  <c r="B176" i="91" s="1"/>
  <c r="B177" i="91" s="1"/>
  <c r="B178" i="91" s="1"/>
  <c r="B179" i="91" s="1"/>
  <c r="B180" i="91" s="1"/>
  <c r="B181" i="91" s="1"/>
  <c r="B182" i="91" s="1"/>
  <c r="B183" i="91" s="1"/>
  <c r="B184" i="91" s="1"/>
  <c r="B5" i="90"/>
  <c r="B6" i="90" s="1"/>
  <c r="B7" i="90" s="1"/>
  <c r="B8" i="90" s="1"/>
  <c r="B9" i="90" s="1"/>
  <c r="B10" i="90" s="1"/>
  <c r="B11" i="90" s="1"/>
  <c r="B12" i="90" s="1"/>
  <c r="B13" i="90" s="1"/>
  <c r="B14" i="90" s="1"/>
  <c r="B15" i="90" s="1"/>
  <c r="B16" i="90" s="1"/>
  <c r="B17" i="90" s="1"/>
  <c r="B18" i="90" s="1"/>
  <c r="B19" i="90" s="1"/>
  <c r="B20" i="90" s="1"/>
  <c r="B21" i="90" s="1"/>
  <c r="B22" i="90" s="1"/>
  <c r="B23" i="90" s="1"/>
  <c r="B24" i="90" s="1"/>
  <c r="B25" i="90" s="1"/>
  <c r="B26" i="90" s="1"/>
  <c r="B27" i="90" s="1"/>
  <c r="B28" i="90" s="1"/>
  <c r="B29" i="90" s="1"/>
  <c r="B30" i="90" s="1"/>
  <c r="B31" i="90" s="1"/>
  <c r="B32" i="90" s="1"/>
  <c r="B33" i="90" s="1"/>
  <c r="B34" i="90" s="1"/>
  <c r="B35" i="90" s="1"/>
  <c r="B36" i="90" s="1"/>
  <c r="B37" i="90" s="1"/>
  <c r="B38" i="90" s="1"/>
  <c r="B39" i="90" s="1"/>
  <c r="B40" i="90" s="1"/>
  <c r="B41" i="90" s="1"/>
  <c r="B42" i="90" s="1"/>
  <c r="B43" i="90" s="1"/>
  <c r="B44" i="90" s="1"/>
  <c r="B45" i="90" s="1"/>
  <c r="B46" i="90" s="1"/>
  <c r="B47" i="90" s="1"/>
  <c r="B48" i="90" s="1"/>
  <c r="B49" i="90" s="1"/>
  <c r="B50" i="90" s="1"/>
  <c r="B51" i="90" s="1"/>
  <c r="B52" i="90" s="1"/>
  <c r="B53" i="90" s="1"/>
  <c r="B54" i="90" s="1"/>
  <c r="B55" i="90" s="1"/>
  <c r="B56" i="90" s="1"/>
  <c r="B57" i="90" s="1"/>
  <c r="B58" i="90" s="1"/>
  <c r="B59" i="90" s="1"/>
  <c r="B60" i="90" s="1"/>
  <c r="B61" i="90" s="1"/>
  <c r="B62" i="90" s="1"/>
  <c r="B63" i="90" s="1"/>
  <c r="B64" i="90" s="1"/>
  <c r="B65" i="90" s="1"/>
  <c r="B66" i="90" s="1"/>
  <c r="B67" i="90" s="1"/>
  <c r="B68" i="90" s="1"/>
  <c r="B69" i="90" s="1"/>
  <c r="B70" i="90" s="1"/>
  <c r="B71" i="90" s="1"/>
  <c r="B72" i="90" s="1"/>
  <c r="B73" i="90" s="1"/>
  <c r="B74" i="90" s="1"/>
  <c r="B75" i="90" s="1"/>
  <c r="B76" i="90" s="1"/>
  <c r="B77" i="90" s="1"/>
  <c r="B78" i="90" s="1"/>
  <c r="B79" i="90" s="1"/>
  <c r="B80" i="90" s="1"/>
  <c r="B81" i="90" s="1"/>
  <c r="B82" i="90" s="1"/>
  <c r="B83" i="90" s="1"/>
  <c r="B84" i="90" s="1"/>
  <c r="B85" i="90" s="1"/>
  <c r="B86" i="90" s="1"/>
  <c r="B87" i="90" s="1"/>
  <c r="B88" i="90" s="1"/>
  <c r="B89" i="90" s="1"/>
  <c r="B90" i="90" s="1"/>
  <c r="B91" i="90" s="1"/>
  <c r="B92" i="90" s="1"/>
  <c r="B93" i="90" s="1"/>
  <c r="B94" i="90" s="1"/>
  <c r="B95" i="90" s="1"/>
  <c r="B96" i="90" s="1"/>
  <c r="B97" i="90" s="1"/>
  <c r="B98" i="90" s="1"/>
  <c r="B99" i="90" s="1"/>
  <c r="B100" i="90" s="1"/>
  <c r="B101" i="90" s="1"/>
  <c r="B102" i="90" s="1"/>
  <c r="B103" i="90" s="1"/>
  <c r="B104" i="90" s="1"/>
  <c r="B105" i="90" s="1"/>
  <c r="B106" i="90" s="1"/>
  <c r="B107" i="90" s="1"/>
  <c r="B108" i="90" s="1"/>
  <c r="B109" i="90" s="1"/>
  <c r="B110" i="90" s="1"/>
  <c r="B111" i="90" s="1"/>
  <c r="B112" i="90" s="1"/>
  <c r="B113" i="90" s="1"/>
  <c r="B114" i="90" s="1"/>
  <c r="B115" i="90" s="1"/>
  <c r="B116" i="90" s="1"/>
  <c r="B117" i="90" s="1"/>
  <c r="B118" i="90" s="1"/>
  <c r="B119" i="90" s="1"/>
  <c r="B120" i="90" s="1"/>
  <c r="B121" i="90" s="1"/>
  <c r="B122" i="90" s="1"/>
  <c r="B123" i="90" s="1"/>
  <c r="B124" i="90" s="1"/>
  <c r="B125" i="90" s="1"/>
  <c r="B126" i="90" s="1"/>
  <c r="B127" i="90" s="1"/>
  <c r="B128" i="90" s="1"/>
  <c r="B129" i="90" s="1"/>
  <c r="B130" i="90" s="1"/>
  <c r="B131" i="90" s="1"/>
  <c r="B132" i="90" s="1"/>
  <c r="B133" i="90" s="1"/>
  <c r="B134" i="90" s="1"/>
  <c r="B135" i="90" s="1"/>
  <c r="B136" i="90" s="1"/>
  <c r="B137" i="90" s="1"/>
  <c r="B138" i="90" s="1"/>
  <c r="B139" i="90" s="1"/>
  <c r="B140" i="90" s="1"/>
  <c r="B141" i="90" s="1"/>
  <c r="B142" i="90" s="1"/>
  <c r="B143" i="90" s="1"/>
  <c r="B144" i="90" s="1"/>
  <c r="B145" i="90" s="1"/>
  <c r="B146" i="90" s="1"/>
  <c r="B147" i="90" s="1"/>
  <c r="B148" i="90" s="1"/>
  <c r="B149" i="90" s="1"/>
  <c r="B150" i="90" s="1"/>
  <c r="B151" i="90" s="1"/>
  <c r="B152" i="90" s="1"/>
  <c r="B153" i="90" s="1"/>
  <c r="B154" i="90" s="1"/>
  <c r="B155" i="90" s="1"/>
  <c r="B156" i="90" s="1"/>
  <c r="B157" i="90" s="1"/>
  <c r="B158" i="90" s="1"/>
  <c r="B159" i="90" s="1"/>
  <c r="B160" i="90" s="1"/>
  <c r="B161" i="90" s="1"/>
  <c r="B162" i="90" s="1"/>
  <c r="B163" i="90" s="1"/>
  <c r="B164" i="90" s="1"/>
  <c r="B165" i="90" s="1"/>
  <c r="B166" i="90" s="1"/>
  <c r="B167" i="90" s="1"/>
  <c r="B168" i="90" s="1"/>
  <c r="B169" i="90" s="1"/>
  <c r="B170" i="90" s="1"/>
  <c r="B171" i="90" s="1"/>
  <c r="B172" i="90" s="1"/>
  <c r="B173" i="90" s="1"/>
  <c r="B174" i="90" s="1"/>
  <c r="B175" i="90" s="1"/>
  <c r="B176" i="90" s="1"/>
  <c r="B177" i="90" s="1"/>
  <c r="B178" i="90" s="1"/>
  <c r="B179" i="90" s="1"/>
  <c r="B180" i="90" s="1"/>
  <c r="B181" i="90" s="1"/>
  <c r="B182" i="90" s="1"/>
  <c r="B183" i="90" s="1"/>
  <c r="B184" i="90" s="1"/>
  <c r="B185" i="90" s="1"/>
  <c r="B186" i="90" s="1"/>
  <c r="B187" i="90" s="1"/>
  <c r="B188" i="90" s="1"/>
  <c r="B189" i="90" s="1"/>
  <c r="B190" i="90" s="1"/>
  <c r="B191" i="90" s="1"/>
  <c r="B192" i="90" s="1"/>
  <c r="B193" i="90" s="1"/>
  <c r="B194" i="90" s="1"/>
  <c r="B195" i="90" s="1"/>
  <c r="B196" i="90" s="1"/>
  <c r="B197" i="90" s="1"/>
  <c r="B198" i="90" s="1"/>
  <c r="B199" i="90" s="1"/>
  <c r="B200" i="90" s="1"/>
  <c r="B201" i="90" s="1"/>
  <c r="B202" i="90" s="1"/>
  <c r="B203" i="90" s="1"/>
  <c r="B204" i="90" s="1"/>
  <c r="B205" i="90" s="1"/>
  <c r="B206" i="90" s="1"/>
  <c r="B207" i="90" s="1"/>
  <c r="B208" i="90" s="1"/>
  <c r="B209" i="90" s="1"/>
  <c r="B210" i="90" s="1"/>
  <c r="B211" i="90" s="1"/>
  <c r="B212" i="90" s="1"/>
  <c r="B213" i="90" s="1"/>
  <c r="B214" i="90" s="1"/>
  <c r="B215" i="90" s="1"/>
  <c r="B216" i="90" s="1"/>
  <c r="B217" i="90" s="1"/>
  <c r="B218" i="90" s="1"/>
  <c r="B219" i="90" s="1"/>
  <c r="B220" i="90" s="1"/>
  <c r="B221" i="90" s="1"/>
  <c r="B222" i="90" s="1"/>
  <c r="B223" i="90" s="1"/>
  <c r="B224" i="90" s="1"/>
  <c r="B225" i="90" s="1"/>
  <c r="B226" i="90" s="1"/>
  <c r="B227" i="90" s="1"/>
  <c r="B228" i="90" s="1"/>
  <c r="B229" i="90" s="1"/>
  <c r="B230" i="90" s="1"/>
  <c r="B231" i="90" s="1"/>
  <c r="B232" i="90" s="1"/>
  <c r="B233" i="90" s="1"/>
  <c r="B234" i="90" s="1"/>
  <c r="B235" i="90" s="1"/>
  <c r="B236" i="90" s="1"/>
  <c r="B237" i="90" s="1"/>
  <c r="B238" i="90" s="1"/>
  <c r="B239" i="90" s="1"/>
  <c r="B240" i="90" s="1"/>
  <c r="B241" i="90" s="1"/>
  <c r="B242" i="90" s="1"/>
  <c r="B243" i="90" s="1"/>
  <c r="B244" i="90" s="1"/>
  <c r="B245" i="90" s="1"/>
  <c r="B246" i="90" s="1"/>
  <c r="B247" i="90" s="1"/>
  <c r="B248" i="90" s="1"/>
  <c r="B249" i="90" s="1"/>
  <c r="B250" i="90" s="1"/>
  <c r="B251" i="90" s="1"/>
  <c r="B252" i="90" s="1"/>
  <c r="B253" i="90" s="1"/>
  <c r="B254" i="90" s="1"/>
  <c r="B255" i="90" s="1"/>
  <c r="B256" i="90" s="1"/>
  <c r="B257" i="90" s="1"/>
  <c r="B258" i="90" s="1"/>
  <c r="B259" i="90" s="1"/>
  <c r="B260" i="90" s="1"/>
  <c r="B261" i="90" s="1"/>
  <c r="B262" i="90" s="1"/>
  <c r="B263" i="90" s="1"/>
  <c r="B264" i="90" s="1"/>
  <c r="B265" i="90" s="1"/>
  <c r="B266" i="90" s="1"/>
  <c r="B267" i="90" s="1"/>
  <c r="B268" i="90" s="1"/>
  <c r="B269" i="90" s="1"/>
  <c r="B270" i="90" s="1"/>
  <c r="B271" i="90" s="1"/>
  <c r="B272" i="90" s="1"/>
  <c r="B273" i="90" s="1"/>
  <c r="B274" i="90" s="1"/>
  <c r="B275" i="90" s="1"/>
  <c r="B276" i="90" s="1"/>
  <c r="B277" i="90" s="1"/>
  <c r="B278" i="90" s="1"/>
  <c r="B279" i="90" s="1"/>
  <c r="B280" i="90" s="1"/>
  <c r="B281" i="90" s="1"/>
  <c r="B282" i="90" s="1"/>
  <c r="B283" i="90" s="1"/>
  <c r="B284" i="90" s="1"/>
  <c r="B285" i="90" s="1"/>
  <c r="B286" i="90" s="1"/>
  <c r="B287" i="90" s="1"/>
  <c r="B288" i="90" s="1"/>
  <c r="B289" i="90" s="1"/>
  <c r="B290" i="90" s="1"/>
  <c r="B291" i="90" s="1"/>
  <c r="B292" i="90" s="1"/>
  <c r="B293" i="90" s="1"/>
  <c r="B294" i="90" s="1"/>
  <c r="B295" i="90" s="1"/>
  <c r="B296" i="90" s="1"/>
  <c r="B297" i="90" s="1"/>
  <c r="B298" i="90" s="1"/>
  <c r="B299" i="90" s="1"/>
  <c r="B300" i="90" s="1"/>
  <c r="B301" i="90" s="1"/>
  <c r="B302" i="90" s="1"/>
  <c r="B303" i="90" s="1"/>
  <c r="B304" i="90" s="1"/>
  <c r="B305" i="90" s="1"/>
  <c r="B306" i="90" s="1"/>
  <c r="B307" i="90" s="1"/>
  <c r="B308" i="90" s="1"/>
  <c r="B309" i="90" s="1"/>
  <c r="B310" i="90" s="1"/>
  <c r="B311" i="90" s="1"/>
  <c r="B312" i="90" s="1"/>
  <c r="B313" i="90" s="1"/>
  <c r="B314" i="90" s="1"/>
  <c r="B315" i="90" s="1"/>
  <c r="B316" i="90" s="1"/>
  <c r="B317" i="90" s="1"/>
  <c r="B318" i="90" s="1"/>
  <c r="B319" i="90" s="1"/>
  <c r="B320" i="90" s="1"/>
  <c r="B321" i="90" s="1"/>
  <c r="B322" i="90" s="1"/>
  <c r="B323" i="90" s="1"/>
  <c r="B324" i="90" s="1"/>
  <c r="B325" i="90" s="1"/>
  <c r="B326" i="90" s="1"/>
  <c r="B327" i="90" s="1"/>
  <c r="B328" i="90" s="1"/>
  <c r="B329" i="90" s="1"/>
  <c r="B330" i="90" s="1"/>
  <c r="B331" i="90" s="1"/>
  <c r="B332" i="90" s="1"/>
  <c r="B333" i="90" s="1"/>
  <c r="B334" i="90" s="1"/>
  <c r="B335" i="90" s="1"/>
  <c r="B336" i="90" s="1"/>
  <c r="B337" i="90" s="1"/>
  <c r="B338" i="90" s="1"/>
  <c r="B339" i="90" s="1"/>
  <c r="B340" i="90" s="1"/>
  <c r="B341" i="90" s="1"/>
  <c r="B342" i="90" s="1"/>
  <c r="B343" i="90" s="1"/>
  <c r="B344" i="90" s="1"/>
  <c r="B345" i="90" s="1"/>
  <c r="B346" i="90" s="1"/>
  <c r="B347" i="90" s="1"/>
  <c r="B348" i="90" s="1"/>
  <c r="B349" i="90" s="1"/>
  <c r="B350" i="90" s="1"/>
  <c r="B351" i="90" s="1"/>
  <c r="B352" i="90" s="1"/>
  <c r="B353" i="90" s="1"/>
  <c r="B354" i="90" s="1"/>
  <c r="B355" i="90" s="1"/>
  <c r="B356" i="90" s="1"/>
  <c r="B357" i="90" s="1"/>
  <c r="B358" i="90" s="1"/>
  <c r="B359" i="90" s="1"/>
  <c r="B360" i="90" s="1"/>
  <c r="B361" i="90" s="1"/>
  <c r="B362" i="90" s="1"/>
  <c r="B363" i="90" s="1"/>
  <c r="B364" i="90" s="1"/>
  <c r="B365" i="90" s="1"/>
  <c r="B366" i="90" s="1"/>
  <c r="B367" i="90" s="1"/>
  <c r="B368" i="90" s="1"/>
  <c r="B369" i="90" s="1"/>
  <c r="B370" i="90" s="1"/>
  <c r="B371" i="90" s="1"/>
  <c r="B372" i="90" s="1"/>
  <c r="B373" i="90" s="1"/>
  <c r="B374" i="90" s="1"/>
  <c r="B375" i="90" s="1"/>
  <c r="B376" i="90" s="1"/>
  <c r="B377" i="90" s="1"/>
  <c r="B378" i="90" s="1"/>
  <c r="B379" i="90" s="1"/>
  <c r="B380" i="90" s="1"/>
  <c r="B381" i="90" s="1"/>
  <c r="B382" i="90" s="1"/>
  <c r="B383" i="90" s="1"/>
  <c r="B384" i="90" s="1"/>
  <c r="B385" i="90" s="1"/>
  <c r="B386" i="90" s="1"/>
  <c r="B387" i="90" s="1"/>
  <c r="B388" i="90" s="1"/>
  <c r="B389" i="90" s="1"/>
  <c r="B390" i="90" s="1"/>
  <c r="B391" i="90" s="1"/>
  <c r="B392" i="90" s="1"/>
  <c r="B393" i="90" s="1"/>
  <c r="B394" i="90" s="1"/>
  <c r="B395" i="90" s="1"/>
  <c r="B396" i="90" s="1"/>
  <c r="B397" i="90" s="1"/>
  <c r="B398" i="90" s="1"/>
  <c r="B399" i="90" s="1"/>
  <c r="B400" i="90" s="1"/>
  <c r="B401" i="90" s="1"/>
  <c r="B402" i="90" s="1"/>
  <c r="B403" i="90" s="1"/>
  <c r="B404" i="90" s="1"/>
  <c r="F3" i="93" l="1" a="1"/>
  <c r="F3" i="93" s="1"/>
  <c r="B185" i="91"/>
  <c r="B186" i="91" s="1"/>
  <c r="B187" i="91" s="1"/>
  <c r="B188" i="91" s="1"/>
  <c r="B189" i="91" s="1"/>
  <c r="B190" i="91" s="1"/>
  <c r="B191" i="91" s="1"/>
  <c r="B192" i="91" s="1"/>
  <c r="B193" i="91" s="1"/>
  <c r="B194" i="91" s="1"/>
  <c r="B195" i="91" s="1"/>
  <c r="B196" i="91" s="1"/>
  <c r="B197" i="91" s="1"/>
  <c r="B198" i="91" s="1"/>
  <c r="B199" i="91" s="1"/>
  <c r="B200" i="91" s="1"/>
  <c r="B201" i="91" s="1"/>
  <c r="B202" i="91" s="1"/>
  <c r="B203" i="91" s="1"/>
  <c r="B204" i="91" s="1"/>
  <c r="B205" i="91" s="1"/>
  <c r="B206" i="91" s="1"/>
  <c r="B207" i="91" s="1"/>
  <c r="B208" i="91" s="1"/>
  <c r="B209" i="91" s="1"/>
  <c r="B210" i="91" s="1"/>
  <c r="B211" i="91" s="1"/>
  <c r="B212" i="91" s="1"/>
  <c r="B213" i="91" s="1"/>
  <c r="B214" i="91" s="1"/>
  <c r="B215" i="91" s="1"/>
  <c r="B216" i="91" s="1"/>
  <c r="B217" i="91" s="1"/>
  <c r="B218" i="91" s="1"/>
  <c r="B219" i="91" s="1"/>
  <c r="B220" i="91" s="1"/>
  <c r="B221" i="91" s="1"/>
  <c r="B222" i="91" s="1"/>
  <c r="B223" i="91" s="1"/>
  <c r="B224" i="91" s="1"/>
  <c r="B225" i="91" s="1"/>
  <c r="B226" i="91" s="1"/>
  <c r="B227" i="91" s="1"/>
  <c r="B228" i="91" s="1"/>
  <c r="B229" i="91" s="1"/>
  <c r="B230" i="91" s="1"/>
  <c r="B231" i="91" s="1"/>
  <c r="B232" i="91" s="1"/>
  <c r="B233" i="91" s="1"/>
  <c r="B234" i="91" s="1"/>
  <c r="B235" i="91" s="1"/>
  <c r="B236" i="91" s="1"/>
  <c r="B237" i="91" s="1"/>
  <c r="B238" i="91" s="1"/>
  <c r="B239" i="91" s="1"/>
  <c r="B240" i="91" s="1"/>
  <c r="B241" i="91" s="1"/>
  <c r="B242" i="91" s="1"/>
  <c r="B243" i="91" s="1"/>
  <c r="B244" i="91" s="1"/>
  <c r="B245" i="91" s="1"/>
  <c r="B246" i="91" s="1"/>
  <c r="B247" i="91" s="1"/>
  <c r="B248" i="91" s="1"/>
  <c r="B249" i="91" s="1"/>
  <c r="B250" i="91" s="1"/>
  <c r="B251" i="91" s="1"/>
  <c r="B252" i="91" s="1"/>
  <c r="B253" i="91" s="1"/>
  <c r="B254" i="91" s="1"/>
  <c r="B255" i="91" s="1"/>
  <c r="B256" i="91" s="1"/>
  <c r="B257" i="91" s="1"/>
  <c r="B258" i="91" s="1"/>
  <c r="B259" i="91" s="1"/>
  <c r="B260" i="91" s="1"/>
  <c r="B261" i="91" s="1"/>
  <c r="B262" i="91" s="1"/>
  <c r="B263" i="91" s="1"/>
  <c r="B264" i="91" s="1"/>
  <c r="B265" i="91" s="1"/>
  <c r="B266" i="91" s="1"/>
  <c r="B267" i="91" s="1"/>
  <c r="B268" i="91" s="1"/>
  <c r="B269" i="91" s="1"/>
  <c r="B270" i="91" s="1"/>
  <c r="B271" i="91" s="1"/>
  <c r="B272" i="91" s="1"/>
  <c r="B273" i="91" s="1"/>
  <c r="B274" i="91" s="1"/>
  <c r="B275" i="91" s="1"/>
  <c r="B276" i="91" s="1"/>
  <c r="B277" i="91" s="1"/>
  <c r="B278" i="91" s="1"/>
  <c r="B279" i="91" s="1"/>
  <c r="B280" i="91" s="1"/>
  <c r="B281" i="91" s="1"/>
  <c r="B282" i="91" s="1"/>
  <c r="B283" i="91" s="1"/>
  <c r="B284" i="91" s="1"/>
  <c r="B285" i="91" s="1"/>
  <c r="B286" i="91" s="1"/>
  <c r="B287" i="91" s="1"/>
  <c r="B288" i="91" s="1"/>
  <c r="B289" i="91" s="1"/>
  <c r="B290" i="91" s="1"/>
  <c r="B291" i="91" s="1"/>
  <c r="B292" i="91" s="1"/>
  <c r="B293" i="91" s="1"/>
  <c r="B294" i="91" s="1"/>
  <c r="B295" i="91" s="1"/>
  <c r="B296" i="91" s="1"/>
  <c r="B297" i="91" s="1"/>
  <c r="B298" i="91" s="1"/>
  <c r="B299" i="91" s="1"/>
  <c r="B300" i="91" s="1"/>
  <c r="B301" i="91" s="1"/>
  <c r="B302" i="91" s="1"/>
  <c r="B303" i="91" s="1"/>
  <c r="B304" i="91" s="1"/>
  <c r="B305" i="91" s="1"/>
  <c r="B306" i="91" s="1"/>
  <c r="B307" i="91" s="1"/>
  <c r="B308" i="91" s="1"/>
  <c r="B309" i="91" s="1"/>
  <c r="B310" i="91" s="1"/>
  <c r="B311" i="91" s="1"/>
  <c r="B312" i="91" s="1"/>
  <c r="B313" i="91" s="1"/>
  <c r="B314" i="91" s="1"/>
  <c r="B315" i="91" s="1"/>
  <c r="B316" i="91" s="1"/>
  <c r="B317" i="91" s="1"/>
  <c r="B318" i="91" s="1"/>
  <c r="B319" i="91" s="1"/>
  <c r="B320" i="91" s="1"/>
  <c r="B321" i="91" s="1"/>
  <c r="B322" i="91" s="1"/>
  <c r="B323" i="91" s="1"/>
  <c r="B324" i="91" s="1"/>
  <c r="B325" i="91" s="1"/>
  <c r="B326" i="91" s="1"/>
  <c r="B327" i="91" s="1"/>
  <c r="B328" i="91" s="1"/>
  <c r="B329" i="91" s="1"/>
  <c r="B330" i="91" s="1"/>
  <c r="B331" i="91" s="1"/>
  <c r="B332" i="91" s="1"/>
  <c r="B333" i="91" s="1"/>
  <c r="B334" i="91" s="1"/>
  <c r="B335" i="91" s="1"/>
  <c r="B336" i="91" s="1"/>
  <c r="B337" i="91" s="1"/>
  <c r="B338" i="91" s="1"/>
  <c r="B339" i="91" s="1"/>
  <c r="B340" i="91" s="1"/>
  <c r="B341" i="91" s="1"/>
  <c r="B342" i="91" s="1"/>
  <c r="B343" i="91" s="1"/>
  <c r="B344" i="91" s="1"/>
  <c r="B345" i="91" s="1"/>
  <c r="B346" i="91" s="1"/>
  <c r="B347" i="91" s="1"/>
  <c r="B348" i="91" s="1"/>
  <c r="B349" i="91" s="1"/>
  <c r="B350" i="91" s="1"/>
  <c r="B351" i="91" s="1"/>
  <c r="B352" i="91" s="1"/>
  <c r="B353" i="91" s="1"/>
  <c r="B354" i="91" s="1"/>
  <c r="B355" i="91" s="1"/>
  <c r="B356" i="91" s="1"/>
  <c r="B357" i="91" s="1"/>
  <c r="B358" i="91" s="1"/>
  <c r="B359" i="91" s="1"/>
  <c r="B360" i="91" s="1"/>
  <c r="B361" i="91" s="1"/>
  <c r="B362" i="91" s="1"/>
  <c r="B363" i="91" s="1"/>
  <c r="B364" i="91" s="1"/>
  <c r="B365" i="91" s="1"/>
  <c r="B366" i="91" s="1"/>
  <c r="B367" i="91" s="1"/>
  <c r="B368" i="91" s="1"/>
  <c r="B369" i="91" s="1"/>
  <c r="B370" i="91" s="1"/>
  <c r="B371" i="91" s="1"/>
  <c r="B372" i="91" s="1"/>
  <c r="B373" i="91" s="1"/>
  <c r="B374" i="91" s="1"/>
  <c r="B375" i="91" s="1"/>
  <c r="B376" i="91" s="1"/>
  <c r="B377" i="91" s="1"/>
  <c r="B378" i="91" s="1"/>
  <c r="B379" i="91" s="1"/>
  <c r="B380" i="91" s="1"/>
  <c r="B381" i="91" s="1"/>
  <c r="B382" i="91" s="1"/>
  <c r="B383" i="91" s="1"/>
  <c r="B384" i="91" s="1"/>
  <c r="B385" i="91" s="1"/>
  <c r="B386" i="91" s="1"/>
  <c r="B387" i="91" s="1"/>
  <c r="B388" i="91" s="1"/>
  <c r="B389" i="91" s="1"/>
  <c r="B390" i="91" s="1"/>
  <c r="B391" i="91" s="1"/>
  <c r="B392" i="91" s="1"/>
  <c r="B393" i="91" s="1"/>
  <c r="B394" i="91" s="1"/>
  <c r="B395" i="91" s="1"/>
  <c r="B396" i="91" s="1"/>
  <c r="B397" i="91" s="1"/>
  <c r="B398" i="91" s="1"/>
  <c r="B399" i="91" s="1"/>
  <c r="B400" i="91" s="1"/>
  <c r="B401" i="91" s="1"/>
  <c r="B402" i="91" s="1"/>
  <c r="B403" i="91" s="1"/>
  <c r="B404" i="91" s="1"/>
  <c r="AJ6" i="54"/>
  <c r="AF4" i="54" l="1" a="1"/>
  <c r="AF4" i="54" s="1"/>
  <c r="I5" i="54"/>
  <c r="K5" i="54"/>
  <c r="M5" i="54"/>
  <c r="AJ5" i="54"/>
  <c r="O11" i="54" l="1"/>
  <c r="Q4" i="54" l="1"/>
  <c r="O4" i="54"/>
  <c r="M4" i="54"/>
  <c r="K4" i="54"/>
  <c r="I4" i="54"/>
  <c r="Q3" i="54"/>
  <c r="O3" i="54"/>
  <c r="M3" i="54"/>
  <c r="K3" i="54"/>
  <c r="I3" i="54"/>
  <c r="W3" i="54" l="1"/>
  <c r="X3" i="54" s="1"/>
  <c r="W4" i="54"/>
  <c r="X4" i="54" s="1"/>
  <c r="W5" i="54"/>
  <c r="X5" i="54" s="1"/>
  <c r="W6" i="54"/>
  <c r="X6" i="54" s="1"/>
  <c r="V13" i="2" l="1"/>
  <c r="W13" i="2" s="1"/>
  <c r="AI4" i="54" l="1"/>
  <c r="AJ4" i="54" l="1"/>
  <c r="AA4" i="54" l="1"/>
  <c r="AB4" i="54" l="1"/>
  <c r="T3" i="54"/>
  <c r="U3" i="54" s="1"/>
  <c r="B5" i="2" l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AA6" i="54" l="1"/>
  <c r="AB6" i="54" l="1"/>
  <c r="AA5" i="54"/>
  <c r="AB5" i="54" l="1"/>
  <c r="AB3" i="5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<sst xmlns="http://schemas.openxmlformats.org/spreadsheetml/2006/main" count="4730" uniqueCount="1367">
  <si>
    <t>KLASSIFIKATIONSYSTEM: Uniformat Strukturen</t>
  </si>
  <si>
    <t>Position</t>
  </si>
  <si>
    <t>Uniformat Kode</t>
  </si>
  <si>
    <t>Sammen</t>
  </si>
  <si>
    <t>Beskrivelse</t>
  </si>
  <si>
    <t>A</t>
  </si>
  <si>
    <t>Substructure - Bygningsbasis</t>
  </si>
  <si>
    <t>A10</t>
  </si>
  <si>
    <t>Foundations - Fundamenter</t>
  </si>
  <si>
    <t>A1010</t>
  </si>
  <si>
    <t>Standard Foundations - Standard Fundamenter</t>
  </si>
  <si>
    <t>A101001</t>
  </si>
  <si>
    <t>Brøndfundamenter</t>
  </si>
  <si>
    <t>A101002</t>
  </si>
  <si>
    <t>Liniefundamenter</t>
  </si>
  <si>
    <t>A101003</t>
  </si>
  <si>
    <t>Punktfundamenter</t>
  </si>
  <si>
    <t>A101004</t>
  </si>
  <si>
    <t>Fundamentsbjælker</t>
  </si>
  <si>
    <t>A101005</t>
  </si>
  <si>
    <t>Fundamenter isolering</t>
  </si>
  <si>
    <t>A101006</t>
  </si>
  <si>
    <t>Pælefundamenter</t>
  </si>
  <si>
    <t>A1020</t>
  </si>
  <si>
    <t>Special Foundations - Specielle Fundamenter</t>
  </si>
  <si>
    <t>A1030</t>
  </si>
  <si>
    <t>Slab on grade - Terrændæk</t>
  </si>
  <si>
    <t>A103001</t>
  </si>
  <si>
    <t>Terrændæk, kældre</t>
  </si>
  <si>
    <t>A103002</t>
  </si>
  <si>
    <t>Terrændæk, terrænniveau</t>
  </si>
  <si>
    <t>A103003</t>
  </si>
  <si>
    <t>Læsserampe</t>
  </si>
  <si>
    <t>A103004</t>
  </si>
  <si>
    <t>Øvrige</t>
  </si>
  <si>
    <t>A20</t>
  </si>
  <si>
    <t>Basement Construction - Kælder konstruktion</t>
  </si>
  <si>
    <t>A2010</t>
  </si>
  <si>
    <t>Basement Excavation - Jordarbejde</t>
  </si>
  <si>
    <t>A2020</t>
  </si>
  <si>
    <t>Basement Walls - Inder - Yder- vægge kælder</t>
  </si>
  <si>
    <t>A202001</t>
  </si>
  <si>
    <t>Kælderydervægge, insitu</t>
  </si>
  <si>
    <t>A202002</t>
  </si>
  <si>
    <t>Kælderydervægge, element, leverance</t>
  </si>
  <si>
    <t>A202003</t>
  </si>
  <si>
    <t>Støttemure, montage</t>
  </si>
  <si>
    <t>A202004</t>
  </si>
  <si>
    <t>Kælderydervægge, element, montage</t>
  </si>
  <si>
    <t>A202005</t>
  </si>
  <si>
    <t>Kælderindervægge, leverance</t>
  </si>
  <si>
    <t>A202006</t>
  </si>
  <si>
    <t>Kælderindervægge, montage</t>
  </si>
  <si>
    <t>A202007</t>
  </si>
  <si>
    <t>Letklinkebetonblokke</t>
  </si>
  <si>
    <t>A202008</t>
  </si>
  <si>
    <t>Porebetonelementer</t>
  </si>
  <si>
    <t>A202009</t>
  </si>
  <si>
    <t>Kælder isolering</t>
  </si>
  <si>
    <t>A202010</t>
  </si>
  <si>
    <t>Kælderbjælker (leverance, montage)</t>
  </si>
  <si>
    <t>A202011</t>
  </si>
  <si>
    <t>Kældersøjler (leverance, montage)</t>
  </si>
  <si>
    <t>B</t>
  </si>
  <si>
    <t>Shell - Råhus</t>
  </si>
  <si>
    <t>B10</t>
  </si>
  <si>
    <t>Superstructure - Primære bygningsdele</t>
  </si>
  <si>
    <t>B1010</t>
  </si>
  <si>
    <t>Floor Construction - Etage dæk konstruktion</t>
  </si>
  <si>
    <t>B101001</t>
  </si>
  <si>
    <t>Etagedæk, insitu</t>
  </si>
  <si>
    <t>B101002</t>
  </si>
  <si>
    <t>Etagedæk, svømmende</t>
  </si>
  <si>
    <t>B101003</t>
  </si>
  <si>
    <t>Etagedæk, elementer, leverance</t>
  </si>
  <si>
    <t>B101004</t>
  </si>
  <si>
    <t>Bjælker, elementer, leverance</t>
  </si>
  <si>
    <t>B101005</t>
  </si>
  <si>
    <t>Etagedæk, elementer, montage</t>
  </si>
  <si>
    <t>B101006</t>
  </si>
  <si>
    <t>Bjælker, elementer, montage</t>
  </si>
  <si>
    <t>B101007</t>
  </si>
  <si>
    <t>Bjælker, Kompositbjælker</t>
  </si>
  <si>
    <t>B101008</t>
  </si>
  <si>
    <t>Øvrigt stål</t>
  </si>
  <si>
    <t>B101009</t>
  </si>
  <si>
    <t>Stålbjælker</t>
  </si>
  <si>
    <t>B101010</t>
  </si>
  <si>
    <t>Brandisolering af stål</t>
  </si>
  <si>
    <t>B101011</t>
  </si>
  <si>
    <t>Ramper</t>
  </si>
  <si>
    <t>B101012</t>
  </si>
  <si>
    <t>Pladsstøbte betonbjælker</t>
  </si>
  <si>
    <t>B101013</t>
  </si>
  <si>
    <t>Trapezplader</t>
  </si>
  <si>
    <t>B101014</t>
  </si>
  <si>
    <t>Træbjælker</t>
  </si>
  <si>
    <t>B1020</t>
  </si>
  <si>
    <t>Roof Construction - Tag konstruktion</t>
  </si>
  <si>
    <t>B102001</t>
  </si>
  <si>
    <t>Isolering af tagkonstruktion</t>
  </si>
  <si>
    <t>B102002</t>
  </si>
  <si>
    <t>Halvtagkonstruktion</t>
  </si>
  <si>
    <t>B20</t>
  </si>
  <si>
    <t>Exterior Closure - Udvendige arbejde</t>
  </si>
  <si>
    <t>B2010</t>
  </si>
  <si>
    <t>Exterior Walls - Udvendige Vægge</t>
  </si>
  <si>
    <t>B201001</t>
  </si>
  <si>
    <t>Søjler, leverance</t>
  </si>
  <si>
    <t>B201002</t>
  </si>
  <si>
    <t>Søjler, montage</t>
  </si>
  <si>
    <t>B201003</t>
  </si>
  <si>
    <t>Facader</t>
  </si>
  <si>
    <t>B201004</t>
  </si>
  <si>
    <t>Øvrige - Facader</t>
  </si>
  <si>
    <t>B201005</t>
  </si>
  <si>
    <t>Beton elementvægge, leverance</t>
  </si>
  <si>
    <t>B201006</t>
  </si>
  <si>
    <t>Beton elementvægge, montage</t>
  </si>
  <si>
    <t>B201007</t>
  </si>
  <si>
    <t>Stålsøjler</t>
  </si>
  <si>
    <t>B201008</t>
  </si>
  <si>
    <t>Murværk, Letklinkeblokke, osv</t>
  </si>
  <si>
    <t>B201009</t>
  </si>
  <si>
    <t>Porebetonskillevægge</t>
  </si>
  <si>
    <t>B201010</t>
  </si>
  <si>
    <t>Pudsarbejder</t>
  </si>
  <si>
    <t>B201011</t>
  </si>
  <si>
    <t>Solafskærmning</t>
  </si>
  <si>
    <t>B201012</t>
  </si>
  <si>
    <t>B2020</t>
  </si>
  <si>
    <t>Exterior Windows - Udvendige Vindue</t>
  </si>
  <si>
    <t>B202001</t>
  </si>
  <si>
    <t>Etablering af vindue i fag</t>
  </si>
  <si>
    <t>B202002</t>
  </si>
  <si>
    <t>Vinduesparti</t>
  </si>
  <si>
    <t>B2030</t>
  </si>
  <si>
    <t>Exterior Doors - Udvendige Døre</t>
  </si>
  <si>
    <t>B203001</t>
  </si>
  <si>
    <t>Udv. døre</t>
  </si>
  <si>
    <t>B203002</t>
  </si>
  <si>
    <t>Udv. Døre - beslåning</t>
  </si>
  <si>
    <t>B203003</t>
  </si>
  <si>
    <t>Behandling af udv. Døre</t>
  </si>
  <si>
    <t>B30</t>
  </si>
  <si>
    <t>Roofing - Tag</t>
  </si>
  <si>
    <t>B3010</t>
  </si>
  <si>
    <t>Roof Coverings - Tag dækning</t>
  </si>
  <si>
    <t>B3020</t>
  </si>
  <si>
    <t>Roof Openings - Tag åbninger</t>
  </si>
  <si>
    <t>B40</t>
  </si>
  <si>
    <t>Interior Walls (concrete)- InderVægge (beton)</t>
  </si>
  <si>
    <t>B4010</t>
  </si>
  <si>
    <t>Elevatorskakte</t>
  </si>
  <si>
    <t>B4020</t>
  </si>
  <si>
    <t>Indervægge, leverance</t>
  </si>
  <si>
    <t>B4030</t>
  </si>
  <si>
    <t>Indervægge, montage</t>
  </si>
  <si>
    <t>B4040</t>
  </si>
  <si>
    <t>Indervægge, insitu</t>
  </si>
  <si>
    <t>B4050</t>
  </si>
  <si>
    <t>Udstøbningsblokke, udsparinger og tilstøbninger</t>
  </si>
  <si>
    <t>B4060</t>
  </si>
  <si>
    <t>Øvrige beton konstruktioner</t>
  </si>
  <si>
    <t>C</t>
  </si>
  <si>
    <t>Interiors - Komplettering</t>
  </si>
  <si>
    <t>C10</t>
  </si>
  <si>
    <t>Interior Construction - Inder Konstruktion</t>
  </si>
  <si>
    <t>C1010</t>
  </si>
  <si>
    <t>Partitions - Skillevægge</t>
  </si>
  <si>
    <t>C101001</t>
  </si>
  <si>
    <t>Komplettering - indv. Facade</t>
  </si>
  <si>
    <t>C101002</t>
  </si>
  <si>
    <t>Indv. vægge</t>
  </si>
  <si>
    <t>C101003</t>
  </si>
  <si>
    <t>Indv. gipsvægge</t>
  </si>
  <si>
    <t>C101004</t>
  </si>
  <si>
    <t>Indv. glasvægge</t>
  </si>
  <si>
    <t>C101005</t>
  </si>
  <si>
    <t>Indv. mobilvægge</t>
  </si>
  <si>
    <t>C101006</t>
  </si>
  <si>
    <t>Øvrige vægge</t>
  </si>
  <si>
    <t>C101007</t>
  </si>
  <si>
    <t>Indvendige Vindue</t>
  </si>
  <si>
    <t>C1020</t>
  </si>
  <si>
    <t>Interior Doors - Indvendige Døre</t>
  </si>
  <si>
    <t>C102001</t>
  </si>
  <si>
    <t>Indv. Dør</t>
  </si>
  <si>
    <t>C102002</t>
  </si>
  <si>
    <t>Indv. dørparti DP1</t>
  </si>
  <si>
    <t>C102003</t>
  </si>
  <si>
    <t>Indv. Døre i Glasvægge</t>
  </si>
  <si>
    <t>C102004</t>
  </si>
  <si>
    <t>Indv. Døre - beslåning</t>
  </si>
  <si>
    <t>C102005</t>
  </si>
  <si>
    <t>Behandling af døre</t>
  </si>
  <si>
    <t>C1030</t>
  </si>
  <si>
    <t>Specialties / Fittings - Armaturer / Udstyr</t>
  </si>
  <si>
    <t>C103001</t>
  </si>
  <si>
    <t>Vand - Forbrugsanlæg</t>
  </si>
  <si>
    <t>C103002</t>
  </si>
  <si>
    <t>Brand- og lydtætninger</t>
  </si>
  <si>
    <t>C103003</t>
  </si>
  <si>
    <t>C103004</t>
  </si>
  <si>
    <t>El lukninger (huller og udsparinger)</t>
  </si>
  <si>
    <t>C20</t>
  </si>
  <si>
    <t>Staircases - Trapper</t>
  </si>
  <si>
    <t>C2010</t>
  </si>
  <si>
    <t>Stair Construction - Trappe konstruktion</t>
  </si>
  <si>
    <t>C201001</t>
  </si>
  <si>
    <t>Tribune elementer, leverance</t>
  </si>
  <si>
    <t>C201002</t>
  </si>
  <si>
    <t>Trapper og reposer, leverance</t>
  </si>
  <si>
    <t>C201003</t>
  </si>
  <si>
    <t>Tribune elementer, montage</t>
  </si>
  <si>
    <t>C201004</t>
  </si>
  <si>
    <t>Trapper og reposer, montage</t>
  </si>
  <si>
    <t>C201005</t>
  </si>
  <si>
    <t>Ståltrapper</t>
  </si>
  <si>
    <t>C201006</t>
  </si>
  <si>
    <t>Trapper -Beton, generelt og pladsstøbt beton</t>
  </si>
  <si>
    <t>C201007</t>
  </si>
  <si>
    <t>Øvrige trapper</t>
  </si>
  <si>
    <t>C2020</t>
  </si>
  <si>
    <t>Stair Finishes - Trappe overflader</t>
  </si>
  <si>
    <t>C30</t>
  </si>
  <si>
    <t>Interior Finishes - Indvendige overflader</t>
  </si>
  <si>
    <t>C3010</t>
  </si>
  <si>
    <t>Wall Finishes - Vægge overflader</t>
  </si>
  <si>
    <t>C301001</t>
  </si>
  <si>
    <t>Maling Indv. Gipsvægge - overflader</t>
  </si>
  <si>
    <t>C301002</t>
  </si>
  <si>
    <t>Maling Indv. porebetonvægge</t>
  </si>
  <si>
    <t>C301003</t>
  </si>
  <si>
    <t>Maling Betonvægge</t>
  </si>
  <si>
    <t>C301004</t>
  </si>
  <si>
    <t>Maling Betonsøjler</t>
  </si>
  <si>
    <t>C301005</t>
  </si>
  <si>
    <t>Fliser</t>
  </si>
  <si>
    <t>C301006</t>
  </si>
  <si>
    <t>Vinduesplade</t>
  </si>
  <si>
    <t>C301007</t>
  </si>
  <si>
    <t>Maling Øvrige</t>
  </si>
  <si>
    <t>C301008</t>
  </si>
  <si>
    <t>Øvrige Vægge Overflader</t>
  </si>
  <si>
    <t>C3020</t>
  </si>
  <si>
    <t>Floor Finishes - Gulve overflader</t>
  </si>
  <si>
    <t>C302001</t>
  </si>
  <si>
    <t>Fodpaneler</t>
  </si>
  <si>
    <t>C302002</t>
  </si>
  <si>
    <t>Undergulve</t>
  </si>
  <si>
    <t>C302003</t>
  </si>
  <si>
    <t>Gulve</t>
  </si>
  <si>
    <t>C302004</t>
  </si>
  <si>
    <t>Rengøring</t>
  </si>
  <si>
    <t>C302005</t>
  </si>
  <si>
    <t>Maling Gulve</t>
  </si>
  <si>
    <t>C3030</t>
  </si>
  <si>
    <t>Ceiling Finishes - Lofter overflader</t>
  </si>
  <si>
    <t>C303001</t>
  </si>
  <si>
    <t>Lofter</t>
  </si>
  <si>
    <t>C303002</t>
  </si>
  <si>
    <t>Maling - Lofter</t>
  </si>
  <si>
    <t>C303003</t>
  </si>
  <si>
    <t>Øvrige Lofter Overflader</t>
  </si>
  <si>
    <t>D</t>
  </si>
  <si>
    <t>Services - Installationer</t>
  </si>
  <si>
    <t>D10</t>
  </si>
  <si>
    <t>Conveying Systems - Transportanlæg Systemer</t>
  </si>
  <si>
    <t>D1010</t>
  </si>
  <si>
    <t>Elevators &amp; Lifts - Elevatorer</t>
  </si>
  <si>
    <t>D101001</t>
  </si>
  <si>
    <t>Elevatorer</t>
  </si>
  <si>
    <t>D101002</t>
  </si>
  <si>
    <t>Handicaplift</t>
  </si>
  <si>
    <t>D1020</t>
  </si>
  <si>
    <t>Escalators &amp; Moving Walks - Rulletrappe og rullende fortov</t>
  </si>
  <si>
    <t>D1030</t>
  </si>
  <si>
    <t>Other Conveying Systems - Øvrige Transportanlæg Systemer</t>
  </si>
  <si>
    <t>D103001</t>
  </si>
  <si>
    <t>Løftebord</t>
  </si>
  <si>
    <t>D103002</t>
  </si>
  <si>
    <t>Stillads</t>
  </si>
  <si>
    <t>D20</t>
  </si>
  <si>
    <t>Plumbing - Vandinstallationer</t>
  </si>
  <si>
    <t>D2010</t>
  </si>
  <si>
    <t>Plumbing Fixtures - Vandinstallation armaturer m.m.</t>
  </si>
  <si>
    <t>D2020</t>
  </si>
  <si>
    <t>Domestic Water Distribution - Brugsvand fordeling</t>
  </si>
  <si>
    <t>D202001</t>
  </si>
  <si>
    <t>Røranlæg for brugsvandsanlæg</t>
  </si>
  <si>
    <t>D202002</t>
  </si>
  <si>
    <t>Røranlæg for behandlet vand</t>
  </si>
  <si>
    <t>D202003</t>
  </si>
  <si>
    <t>Røranlæg for blødgjort vand</t>
  </si>
  <si>
    <t>D202004</t>
  </si>
  <si>
    <t>Stigrør</t>
  </si>
  <si>
    <t>D202005</t>
  </si>
  <si>
    <t>Vand - Forsyningsanlæg</t>
  </si>
  <si>
    <t>D202006</t>
  </si>
  <si>
    <t>Tekniske isolering for brugsvand</t>
  </si>
  <si>
    <t>D2030</t>
  </si>
  <si>
    <t>Sanitary Waste - Sanitet afløb spildevand</t>
  </si>
  <si>
    <t>D203001</t>
  </si>
  <si>
    <t>Afløb - Faldstammer</t>
  </si>
  <si>
    <t>D203002</t>
  </si>
  <si>
    <t>Afløb - Sanitet</t>
  </si>
  <si>
    <t>D203003</t>
  </si>
  <si>
    <t>Øvrige Arbejder - Afløb</t>
  </si>
  <si>
    <t>D203004</t>
  </si>
  <si>
    <t>Afløb - Spildevand</t>
  </si>
  <si>
    <t>D2040</t>
  </si>
  <si>
    <t>Rain Water Drainage - Afvanding regn</t>
  </si>
  <si>
    <t>D204001</t>
  </si>
  <si>
    <t>Afløb - Tagvand</t>
  </si>
  <si>
    <t>D2050</t>
  </si>
  <si>
    <t>Special Plumbing Systems - Specielle vandinstallationer</t>
  </si>
  <si>
    <t>D30</t>
  </si>
  <si>
    <t>HVAC - VVS</t>
  </si>
  <si>
    <t>D3010</t>
  </si>
  <si>
    <t>Energy Supply - Energi forsyning</t>
  </si>
  <si>
    <t>D3020</t>
  </si>
  <si>
    <t>Heat Generating System - Varmeinstallationer</t>
  </si>
  <si>
    <t>D302001</t>
  </si>
  <si>
    <t>Varme - Forsyningsanlæg</t>
  </si>
  <si>
    <t>D302002</t>
  </si>
  <si>
    <t>Varme - Distributionsanlæg</t>
  </si>
  <si>
    <t>D302002a</t>
  </si>
  <si>
    <t>Ublandet og Blandet varme</t>
  </si>
  <si>
    <t>D302002b</t>
  </si>
  <si>
    <t>Blandet varme</t>
  </si>
  <si>
    <t>D302002c</t>
  </si>
  <si>
    <t>Varmegenvinding</t>
  </si>
  <si>
    <t>D302003</t>
  </si>
  <si>
    <t>Varme - Forbrugsanlæg</t>
  </si>
  <si>
    <t>D302003a</t>
  </si>
  <si>
    <t>Gulvvarme</t>
  </si>
  <si>
    <t>D302003b</t>
  </si>
  <si>
    <t>Radiatorer og konvektorer</t>
  </si>
  <si>
    <t>D302003c</t>
  </si>
  <si>
    <t>Tekniske isolering for Varme</t>
  </si>
  <si>
    <t>D3030</t>
  </si>
  <si>
    <t>Cooling Generating System - kølesystem</t>
  </si>
  <si>
    <t>D303001</t>
  </si>
  <si>
    <t>Køling - Forsyningsanlæg</t>
  </si>
  <si>
    <t>D303002</t>
  </si>
  <si>
    <t>Køling - Distributionsanlæg</t>
  </si>
  <si>
    <t>D303002a</t>
  </si>
  <si>
    <t>Rørsystem for kølerum - kølekreds 1</t>
  </si>
  <si>
    <t>D303002b</t>
  </si>
  <si>
    <t>Rørsystem for kølerum - kølekreds 2</t>
  </si>
  <si>
    <t>D303002c</t>
  </si>
  <si>
    <t>Rørsystem for kølerum - kølekreds 3</t>
  </si>
  <si>
    <t>D303002d</t>
  </si>
  <si>
    <t>Rørsystem for komfortkøling</t>
  </si>
  <si>
    <t>D303002e</t>
  </si>
  <si>
    <t>Kølerør for eksisterende autoklave</t>
  </si>
  <si>
    <t>D303002f</t>
  </si>
  <si>
    <t>Køle- og frostrum</t>
  </si>
  <si>
    <t>D303002g</t>
  </si>
  <si>
    <t>Køleanlæg for klimaceller</t>
  </si>
  <si>
    <t>D303003</t>
  </si>
  <si>
    <t>Køling - Forbrugsanlæg</t>
  </si>
  <si>
    <t>D3040</t>
  </si>
  <si>
    <t>Distribution System - Ventilation</t>
  </si>
  <si>
    <t>D304001</t>
  </si>
  <si>
    <t>Ventilationsaggregater og ventilatorer</t>
  </si>
  <si>
    <t>D304002</t>
  </si>
  <si>
    <t>Afkast</t>
  </si>
  <si>
    <t>D304003</t>
  </si>
  <si>
    <t>Kanaler</t>
  </si>
  <si>
    <t>D304004</t>
  </si>
  <si>
    <t>Lyddæmpere på indtag og afkast</t>
  </si>
  <si>
    <t>D304005</t>
  </si>
  <si>
    <t>Lyddæmpere i kanalsystem</t>
  </si>
  <si>
    <t>D304006</t>
  </si>
  <si>
    <t>Volustater</t>
  </si>
  <si>
    <t>D304007</t>
  </si>
  <si>
    <t>On-off spjæld</t>
  </si>
  <si>
    <t>D304008</t>
  </si>
  <si>
    <t>Modulerende spjæld</t>
  </si>
  <si>
    <t>D304009</t>
  </si>
  <si>
    <t>Trykholdespjæld</t>
  </si>
  <si>
    <t>D304010</t>
  </si>
  <si>
    <t>Volumenstrømsmålere</t>
  </si>
  <si>
    <t>D304011</t>
  </si>
  <si>
    <t>Volumenstrømsregulatorer</t>
  </si>
  <si>
    <t>D304012</t>
  </si>
  <si>
    <t>Brandspjæld</t>
  </si>
  <si>
    <t>D304013</t>
  </si>
  <si>
    <t>Diverse spjæld mv.</t>
  </si>
  <si>
    <t>D304014</t>
  </si>
  <si>
    <t>Zonevarmeflader</t>
  </si>
  <si>
    <t>D304015</t>
  </si>
  <si>
    <t>Zonekøleflader</t>
  </si>
  <si>
    <t>D304016</t>
  </si>
  <si>
    <t>Isolering</t>
  </si>
  <si>
    <t>D304017</t>
  </si>
  <si>
    <t>Brandlukninger</t>
  </si>
  <si>
    <t>D304018</t>
  </si>
  <si>
    <t>Ventilationsarmaturer</t>
  </si>
  <si>
    <t>D304019</t>
  </si>
  <si>
    <t>Øvrige ventilationsarbejder</t>
  </si>
  <si>
    <t>D304020</t>
  </si>
  <si>
    <t>Kanaltilsnutninger</t>
  </si>
  <si>
    <t>D304021</t>
  </si>
  <si>
    <t>Indtag</t>
  </si>
  <si>
    <t>D304022</t>
  </si>
  <si>
    <t>Røranlæg i ventilation</t>
  </si>
  <si>
    <t>D304023</t>
  </si>
  <si>
    <t>Speciel Ventilation</t>
  </si>
  <si>
    <t>D304024</t>
  </si>
  <si>
    <t xml:space="preserve">Filterbokse </t>
  </si>
  <si>
    <t>D3050</t>
  </si>
  <si>
    <t>Terminal &amp; Package Units</t>
  </si>
  <si>
    <t>D3060</t>
  </si>
  <si>
    <t>Controls &amp; Instrumentation - Kontrol &amp; Instrumentation</t>
  </si>
  <si>
    <t>D306001</t>
  </si>
  <si>
    <t>Scada- Hovedstation</t>
  </si>
  <si>
    <t>D306002</t>
  </si>
  <si>
    <t>Varmecentral, CTS</t>
  </si>
  <si>
    <t>D306003</t>
  </si>
  <si>
    <t>Køling komfort, CTS</t>
  </si>
  <si>
    <t>D306004</t>
  </si>
  <si>
    <t>Køling process, CTS</t>
  </si>
  <si>
    <t>D306005</t>
  </si>
  <si>
    <t>Kontrolventilation, CTS</t>
  </si>
  <si>
    <t>D306006</t>
  </si>
  <si>
    <t>Laboratorieventilation, CTS</t>
  </si>
  <si>
    <t>D306007</t>
  </si>
  <si>
    <t>Behandlet vand, CTS</t>
  </si>
  <si>
    <t>D306008</t>
  </si>
  <si>
    <t>Trykluft, CTS</t>
  </si>
  <si>
    <t>D306009</t>
  </si>
  <si>
    <t>Vacuum, CTS</t>
  </si>
  <si>
    <t>D306010</t>
  </si>
  <si>
    <t>Diverse anlæg, CTS</t>
  </si>
  <si>
    <t>D306011</t>
  </si>
  <si>
    <t>CTS netværk</t>
  </si>
  <si>
    <t>D306012</t>
  </si>
  <si>
    <t>Indregulering og færdiggørelse</t>
  </si>
  <si>
    <t>D306013</t>
  </si>
  <si>
    <t>CTS automatik</t>
  </si>
  <si>
    <t>D306014</t>
  </si>
  <si>
    <t>CTS, Afløb</t>
  </si>
  <si>
    <t>D306015</t>
  </si>
  <si>
    <t>CTS, Brugsvand</t>
  </si>
  <si>
    <t>D306016</t>
  </si>
  <si>
    <t>CTS, Varmt brugsvand</t>
  </si>
  <si>
    <t>D306017</t>
  </si>
  <si>
    <t>CTS, Tavler</t>
  </si>
  <si>
    <t>D306018</t>
  </si>
  <si>
    <t>CTS El arbejder</t>
  </si>
  <si>
    <t>D3070</t>
  </si>
  <si>
    <t>Special HVAC Systems &amp; Equipment - Speciel VVS Systemer &amp; Inventar</t>
  </si>
  <si>
    <t>D307001</t>
  </si>
  <si>
    <t>Luftarter - Forsyningsanlæg</t>
  </si>
  <si>
    <t>D307001a</t>
  </si>
  <si>
    <t>Trykluftforsyning</t>
  </si>
  <si>
    <t>D307001b</t>
  </si>
  <si>
    <t>Nitrogenforsyning (gasformig)</t>
  </si>
  <si>
    <t>D307001c</t>
  </si>
  <si>
    <t>Nitrogenforsyning (flydende)</t>
  </si>
  <si>
    <t>D307001d</t>
  </si>
  <si>
    <t>Teknikrum for trykluft</t>
  </si>
  <si>
    <t>D307001e</t>
  </si>
  <si>
    <t>Teknikrum for vakuum</t>
  </si>
  <si>
    <t>D307001f</t>
  </si>
  <si>
    <t>Gasoplag for brandnærende og inaktive gasser</t>
  </si>
  <si>
    <t>D307001g</t>
  </si>
  <si>
    <t>Gasoplag for brændbare gasser</t>
  </si>
  <si>
    <t>D307002</t>
  </si>
  <si>
    <t>Luftarter - Distributionsanlæg</t>
  </si>
  <si>
    <t>D307002a</t>
  </si>
  <si>
    <t>Røranlæg for trykluft, AP</t>
  </si>
  <si>
    <t>D307002b</t>
  </si>
  <si>
    <t>Røranlæg for vakuum, VA</t>
  </si>
  <si>
    <t>D307002c</t>
  </si>
  <si>
    <t>Røranlæg for gasformig nitrogen, N2</t>
  </si>
  <si>
    <t>D307002d</t>
  </si>
  <si>
    <t>Røranlæg for flydende nitrogen, N2Li</t>
  </si>
  <si>
    <t>D307002e</t>
  </si>
  <si>
    <t>Røranlæg for argon, Ar</t>
  </si>
  <si>
    <t>D307002f</t>
  </si>
  <si>
    <t>Røranlæg for helium, He</t>
  </si>
  <si>
    <t>D307002g</t>
  </si>
  <si>
    <t>Røranlæg for oxygen, O2</t>
  </si>
  <si>
    <t>D307002h</t>
  </si>
  <si>
    <t>Røranlæg for kuldioxid, CO2</t>
  </si>
  <si>
    <t>D307002i</t>
  </si>
  <si>
    <t>Røranlæg for metan CH4</t>
  </si>
  <si>
    <t>D307002j</t>
  </si>
  <si>
    <t>Røranlæg for blandingsgas, H2+CO2</t>
  </si>
  <si>
    <t>D307002k</t>
  </si>
  <si>
    <t>Røranlæg for blandingsgas, N2 + CO2</t>
  </si>
  <si>
    <t>D307002l</t>
  </si>
  <si>
    <t>Røranlæg for blandingsgas, N2+H2+CO2</t>
  </si>
  <si>
    <t>D307002m</t>
  </si>
  <si>
    <t>Røranlæg for disponible gasser, D</t>
  </si>
  <si>
    <t>D307002n</t>
  </si>
  <si>
    <t>Røranlæg for bygas</t>
  </si>
  <si>
    <t>D307002o</t>
  </si>
  <si>
    <t>Røranlæg for Carbogen, CBG</t>
  </si>
  <si>
    <t>D307002p</t>
  </si>
  <si>
    <t xml:space="preserve">Røranlæg for fremtidige gasser </t>
  </si>
  <si>
    <t>D307002q</t>
  </si>
  <si>
    <t>Øvrige gasser</t>
  </si>
  <si>
    <t>D307003</t>
  </si>
  <si>
    <t>Luftarter - forbrugsanlæg</t>
  </si>
  <si>
    <t>D307003a</t>
  </si>
  <si>
    <t>Udtag for trykluft, AP</t>
  </si>
  <si>
    <t>D307003b</t>
  </si>
  <si>
    <t>Udtag for flydende nitrogen, N2Li</t>
  </si>
  <si>
    <t>D307003c</t>
  </si>
  <si>
    <t>Udtag for kuldioxid, CO2</t>
  </si>
  <si>
    <t>D307003d</t>
  </si>
  <si>
    <t>Udtag for vakuum</t>
  </si>
  <si>
    <t>D307003e</t>
  </si>
  <si>
    <t>Udtag for bygas</t>
  </si>
  <si>
    <t>D307003f</t>
  </si>
  <si>
    <t>Udtag for helium, He</t>
  </si>
  <si>
    <t>D307003g</t>
  </si>
  <si>
    <t>Udtag for Argon, Ar</t>
  </si>
  <si>
    <t>D307003h</t>
  </si>
  <si>
    <t>Udtag for Oxygen, O2</t>
  </si>
  <si>
    <t>D307003i</t>
  </si>
  <si>
    <t>Udtag for Nitrogen, N2</t>
  </si>
  <si>
    <t>D307003j</t>
  </si>
  <si>
    <t>Udtag for Carbogen, CBG</t>
  </si>
  <si>
    <t>D307003k</t>
  </si>
  <si>
    <t>Udtag for Metan, CH4</t>
  </si>
  <si>
    <t>D307003l</t>
  </si>
  <si>
    <t>Ejektorpumper</t>
  </si>
  <si>
    <t>D307004</t>
  </si>
  <si>
    <t>Laboratorieautomatik
Rum- og stinkskabsautomatik</t>
  </si>
  <si>
    <t>D307005</t>
  </si>
  <si>
    <t>Stinkskabe og Aftræksskabe</t>
  </si>
  <si>
    <t>D307005a</t>
  </si>
  <si>
    <t>Stinkskabe</t>
  </si>
  <si>
    <t>D307005b</t>
  </si>
  <si>
    <t>Aftræksskabe</t>
  </si>
  <si>
    <t>D3080</t>
  </si>
  <si>
    <t>Systems Testing &amp; Balancing - Systemer test &amp; Afbalancering</t>
  </si>
  <si>
    <t>D308001</t>
  </si>
  <si>
    <t>KS og D&amp;V</t>
  </si>
  <si>
    <t>D308002</t>
  </si>
  <si>
    <t>Rensning, trykprøvning og indregulering af VVS-anlæg</t>
  </si>
  <si>
    <t>D308003</t>
  </si>
  <si>
    <t>Øvrige - VVS</t>
  </si>
  <si>
    <t>D40</t>
  </si>
  <si>
    <t>Fire Protection - Brand</t>
  </si>
  <si>
    <t>D4010</t>
  </si>
  <si>
    <t>Fire Protection Sprinkler Systems - Brand Sprinkling</t>
  </si>
  <si>
    <t>D401001</t>
  </si>
  <si>
    <t>Tilkobling af nyt sprinklerstik til eksisterende</t>
  </si>
  <si>
    <t>D401002</t>
  </si>
  <si>
    <t>Sprinklercentral med alarmventiler, trykforøgerpumpe, trykholdepumpe, 
kompressor, kar og tavle</t>
  </si>
  <si>
    <t>D401003</t>
  </si>
  <si>
    <t>Sprinklertavle i sprinklercentral</t>
  </si>
  <si>
    <t>D401004</t>
  </si>
  <si>
    <t>Flowswitchpanel</t>
  </si>
  <si>
    <t>D401005</t>
  </si>
  <si>
    <t>Røranlæg for sprinkling</t>
  </si>
  <si>
    <t>D401006</t>
  </si>
  <si>
    <t>Tappeprøve</t>
  </si>
  <si>
    <t>D4020</t>
  </si>
  <si>
    <t>Stand-Pipe &amp; Hose Systems - Vandtårn &amp; Slange systemer</t>
  </si>
  <si>
    <t>D4030</t>
  </si>
  <si>
    <t>Fire Protection Specialties - Brand Specialiteter</t>
  </si>
  <si>
    <t>D4040</t>
  </si>
  <si>
    <t>Other Fire Protection Systems - Øvrige Brand Systemer</t>
  </si>
  <si>
    <t>D50</t>
  </si>
  <si>
    <t>Electrical - EL</t>
  </si>
  <si>
    <t>D5010</t>
  </si>
  <si>
    <t>Electrical Service &amp; Distribution - Elinstallation &amp; Fordeling</t>
  </si>
  <si>
    <t>D501001</t>
  </si>
  <si>
    <t>Kabelveje for lavspænding</t>
  </si>
  <si>
    <t>D501002</t>
  </si>
  <si>
    <t>Hovedledninger</t>
  </si>
  <si>
    <t>D501003</t>
  </si>
  <si>
    <t>Hovedfordelingstavler</t>
  </si>
  <si>
    <t>D501004</t>
  </si>
  <si>
    <t>Gruppefordelingstavler</t>
  </si>
  <si>
    <t>D501005</t>
  </si>
  <si>
    <t>Anlæg for stikkontakter</t>
  </si>
  <si>
    <t>D5020</t>
  </si>
  <si>
    <t>Lighting &amp; Branch Wiring - Belysning &amp; Ledningsføring</t>
  </si>
  <si>
    <t>D502001</t>
  </si>
  <si>
    <t>Installationer for belysning</t>
  </si>
  <si>
    <t>D502002</t>
  </si>
  <si>
    <t>Belysningsarmaturer</t>
  </si>
  <si>
    <t>D5030</t>
  </si>
  <si>
    <t>Communication &amp; Security Systems - Kommunikations- &amp; Sikringsanlæg</t>
  </si>
  <si>
    <t>D503001</t>
  </si>
  <si>
    <t>Dørtelefonanlæg</t>
  </si>
  <si>
    <t>D503002</t>
  </si>
  <si>
    <t>Informationsanlæg</t>
  </si>
  <si>
    <t>D503003</t>
  </si>
  <si>
    <t>Antenneanlæg</t>
  </si>
  <si>
    <t>D503004</t>
  </si>
  <si>
    <t>PDS-kabling og krydsfelter</t>
  </si>
  <si>
    <t>D503005</t>
  </si>
  <si>
    <t>AIA-anlæg</t>
  </si>
  <si>
    <t>D503006</t>
  </si>
  <si>
    <t>ABA- og ABDL-anlæg</t>
  </si>
  <si>
    <t>D503007</t>
  </si>
  <si>
    <t>Automatisk Brandventilationsanlæg (ABV)</t>
  </si>
  <si>
    <t>D503008</t>
  </si>
  <si>
    <t>Talevarslingsanlæg</t>
  </si>
  <si>
    <t>D503009</t>
  </si>
  <si>
    <t>IBI-anlæg</t>
  </si>
  <si>
    <t>D503010</t>
  </si>
  <si>
    <t>Adgangssystem - Adgangskontrolanlæg (ADK)</t>
  </si>
  <si>
    <t>D503011</t>
  </si>
  <si>
    <t>Øvrige El arbejder</t>
  </si>
  <si>
    <t>D5040</t>
  </si>
  <si>
    <t>Special Electrical Systems - Specielle El Systemer</t>
  </si>
  <si>
    <t>D504001</t>
  </si>
  <si>
    <t>Sikkerhedsbelysning</t>
  </si>
  <si>
    <t>D504002</t>
  </si>
  <si>
    <t>UPS-anlæg</t>
  </si>
  <si>
    <t>D504003</t>
  </si>
  <si>
    <t>Alarmanlæg i køle- og fryserum</t>
  </si>
  <si>
    <t>D504004</t>
  </si>
  <si>
    <t>Jordelektrodeanlæg</t>
  </si>
  <si>
    <t>D504005</t>
  </si>
  <si>
    <t>Installationer for apparater og maskiner</t>
  </si>
  <si>
    <t>D504006</t>
  </si>
  <si>
    <t>Beskyttelsessystemer</t>
  </si>
  <si>
    <t>D504007</t>
  </si>
  <si>
    <t>Supplerende føringsveje og huller</t>
  </si>
  <si>
    <t>D504008</t>
  </si>
  <si>
    <t>El Installation for Solafskærming</t>
  </si>
  <si>
    <t>D504009</t>
  </si>
  <si>
    <t>Andre El Ydelser</t>
  </si>
  <si>
    <t>D504010</t>
  </si>
  <si>
    <t>EMC (Elektromagnetisk Compatibility)</t>
  </si>
  <si>
    <t>D504011</t>
  </si>
  <si>
    <t>Solcelleanlæg</t>
  </si>
  <si>
    <t>D504012</t>
  </si>
  <si>
    <t>Generatoranlæg</t>
  </si>
  <si>
    <t>E</t>
  </si>
  <si>
    <t>Equipment &amp; Furnishings - Inventar &amp; Møbler</t>
  </si>
  <si>
    <t>E10</t>
  </si>
  <si>
    <t>Equipment - Inventar</t>
  </si>
  <si>
    <t>E1010</t>
  </si>
  <si>
    <t>Commercial Equipment - Forretnings inventar</t>
  </si>
  <si>
    <t>E1020</t>
  </si>
  <si>
    <t>Institutional Equipment - Institutions inventar</t>
  </si>
  <si>
    <t>E1030</t>
  </si>
  <si>
    <t>Vehicular Equipment - Mobilt inventar</t>
  </si>
  <si>
    <t>E1040</t>
  </si>
  <si>
    <t>Other Equipment - Andet inventar</t>
  </si>
  <si>
    <t>E104001</t>
  </si>
  <si>
    <t>Laboratorieinventar</t>
  </si>
  <si>
    <t>E104002</t>
  </si>
  <si>
    <t>Sportinventar</t>
  </si>
  <si>
    <t>E104003</t>
  </si>
  <si>
    <t>Hvidevarer</t>
  </si>
  <si>
    <t>E20</t>
  </si>
  <si>
    <t>Furnishings - Møbler</t>
  </si>
  <si>
    <t>E2010</t>
  </si>
  <si>
    <t>Fixed Furnishings - Fast Møbler</t>
  </si>
  <si>
    <t>E2020</t>
  </si>
  <si>
    <t>Movable Furnishings - Løst inventar</t>
  </si>
  <si>
    <t>F</t>
  </si>
  <si>
    <t>Special Construction &amp; Demolition - Speciel konstruktion &amp; Nedrivning</t>
  </si>
  <si>
    <t>F10</t>
  </si>
  <si>
    <t>Special Construction - Speciel Konstruktion</t>
  </si>
  <si>
    <t>F1010</t>
  </si>
  <si>
    <t>Special Structures - Specielle Konstruktioner</t>
  </si>
  <si>
    <t>F1020</t>
  </si>
  <si>
    <t>Integrated Construction - Indbygget konstruktioner</t>
  </si>
  <si>
    <t>F1030</t>
  </si>
  <si>
    <t>Special Construction Systems - Specielle Konstruktion Systemer</t>
  </si>
  <si>
    <t>F1040</t>
  </si>
  <si>
    <t>Special Facilities - Specielle Faciliteter</t>
  </si>
  <si>
    <t>F1050</t>
  </si>
  <si>
    <t>Special Controls &amp; Instrumentation - Specielle Kontrol &amp; Instrumentation</t>
  </si>
  <si>
    <t>F20</t>
  </si>
  <si>
    <t>Selective Building Demolition - Selektiv Bygning Nedrivning</t>
  </si>
  <si>
    <t>F2010</t>
  </si>
  <si>
    <t>Building Elements Demolition - Bygningselementer nedrivning</t>
  </si>
  <si>
    <t>F201001</t>
  </si>
  <si>
    <t>Frakobling af VVS og Ventilation</t>
  </si>
  <si>
    <t>F201002</t>
  </si>
  <si>
    <t>Frakobling af El</t>
  </si>
  <si>
    <t>F201003</t>
  </si>
  <si>
    <t>Nedrivnings- og miljøsaneringsarbejder</t>
  </si>
  <si>
    <t>F201004</t>
  </si>
  <si>
    <t>Rydning af Inventar</t>
  </si>
  <si>
    <t>F2020</t>
  </si>
  <si>
    <t>Hazardous Components Abatement - Fjernelse af farligt materiale</t>
  </si>
  <si>
    <t>G</t>
  </si>
  <si>
    <r>
      <t xml:space="preserve">Building Sitework - </t>
    </r>
    <r>
      <rPr>
        <b/>
        <sz val="9"/>
        <color rgb="FFFFFFFF"/>
        <rFont val="Verdana"/>
        <family val="2"/>
      </rPr>
      <t>Grund &amp; Terræn arbejder</t>
    </r>
  </si>
  <si>
    <t>G10</t>
  </si>
  <si>
    <t xml:space="preserve">Site Preparation – Forberedelse af Grund </t>
  </si>
  <si>
    <t>G1010</t>
  </si>
  <si>
    <t>Site Clearing – Rydning af Grund</t>
  </si>
  <si>
    <t>G1020</t>
  </si>
  <si>
    <t>Site Demolition &amp; Relocation – Grund nedrivning og flytning</t>
  </si>
  <si>
    <t>G1030</t>
  </si>
  <si>
    <t>Site Earthwork – Grund jordarbejder</t>
  </si>
  <si>
    <t>G103001</t>
  </si>
  <si>
    <t>Afrigning</t>
  </si>
  <si>
    <t>G103002</t>
  </si>
  <si>
    <t>Afrømning af jord</t>
  </si>
  <si>
    <t>G103003</t>
  </si>
  <si>
    <t>Til- og påfyldninger</t>
  </si>
  <si>
    <t>G103004</t>
  </si>
  <si>
    <t>JVA-arbejde</t>
  </si>
  <si>
    <t>G103005</t>
  </si>
  <si>
    <t>Etablering af infatningsvægge</t>
  </si>
  <si>
    <t>G103006</t>
  </si>
  <si>
    <t>Jordarbejdet for VVS-ledninger i terræn</t>
  </si>
  <si>
    <t>G103007</t>
  </si>
  <si>
    <t>Udgravning af jord</t>
  </si>
  <si>
    <t>G103008</t>
  </si>
  <si>
    <t>Øvrige arbejder Site Earthwork</t>
  </si>
  <si>
    <t>G1040</t>
  </si>
  <si>
    <t>Hazardous Waste Remediation - Farligt Oprydning affald</t>
  </si>
  <si>
    <t>G20</t>
  </si>
  <si>
    <t>Site Improvements – Grund Forbedringer</t>
  </si>
  <si>
    <t>G2010</t>
  </si>
  <si>
    <t>Roadways – Kørebaner / Vejbaner</t>
  </si>
  <si>
    <t>G2020</t>
  </si>
  <si>
    <t>Parking Lots - Parkeringspladser</t>
  </si>
  <si>
    <t>G2030</t>
  </si>
  <si>
    <t>Pedestrian Paving - Gågade Brolægning</t>
  </si>
  <si>
    <t>G203001</t>
  </si>
  <si>
    <t>Belægning og kantsten</t>
  </si>
  <si>
    <t>G203002</t>
  </si>
  <si>
    <t>Udgravning og jordhåndtering</t>
  </si>
  <si>
    <t>G203003</t>
  </si>
  <si>
    <t>G2040</t>
  </si>
  <si>
    <t>Site Development – Udvikling af Grund / Modning</t>
  </si>
  <si>
    <t>G204001</t>
  </si>
  <si>
    <t>Hegning</t>
  </si>
  <si>
    <t>G204002</t>
  </si>
  <si>
    <t>Generelt</t>
  </si>
  <si>
    <t>G204003</t>
  </si>
  <si>
    <t>Drift af byggeplads</t>
  </si>
  <si>
    <t>G204004</t>
  </si>
  <si>
    <t>Inventar - Landskab</t>
  </si>
  <si>
    <t>G204005</t>
  </si>
  <si>
    <t>Skurby og oplagsplads</t>
  </si>
  <si>
    <t>G2050</t>
  </si>
  <si>
    <t>Landscaping - Landskab</t>
  </si>
  <si>
    <t>G205001</t>
  </si>
  <si>
    <t>Beplanting, jordarbejde</t>
  </si>
  <si>
    <t>G205002</t>
  </si>
  <si>
    <t>Beplanting, plantearbejder</t>
  </si>
  <si>
    <t>G205003</t>
  </si>
  <si>
    <t>Øvrige arbejder ved Landskab</t>
  </si>
  <si>
    <t>G30</t>
  </si>
  <si>
    <t>Site Civil / Mechanical Utilities - Grund Bygge / VVS installationer</t>
  </si>
  <si>
    <t>G3010</t>
  </si>
  <si>
    <t>Water Supply &amp; Distribution Systems – Vand forsyning &amp; fordeling Systemer</t>
  </si>
  <si>
    <t>G3020</t>
  </si>
  <si>
    <t>Sanitary Sewer Systems - Sanitet Kloak Systemer</t>
  </si>
  <si>
    <t>G302001</t>
  </si>
  <si>
    <t>Afløbsanlæg for regnvand og spildevand</t>
  </si>
  <si>
    <t>G302002</t>
  </si>
  <si>
    <t>Afløbsanlæg for dræn</t>
  </si>
  <si>
    <t>G302003</t>
  </si>
  <si>
    <t>Fedtudskiller</t>
  </si>
  <si>
    <t>G302004</t>
  </si>
  <si>
    <t>Pumpebrønde</t>
  </si>
  <si>
    <t>G302005</t>
  </si>
  <si>
    <t>Øvrige kloakarbejder</t>
  </si>
  <si>
    <t>G3030</t>
  </si>
  <si>
    <t>Storm Sewer Systems – Storm Kloak Systemer</t>
  </si>
  <si>
    <t>G3040</t>
  </si>
  <si>
    <t>Heating Distribution – Varmeinstallationer</t>
  </si>
  <si>
    <t>G3050</t>
  </si>
  <si>
    <t>Cooling Distribution - Kølesystem</t>
  </si>
  <si>
    <t>G3060</t>
  </si>
  <si>
    <t>Fuel Distribution - Brændstofinstallationer</t>
  </si>
  <si>
    <t>G3070</t>
  </si>
  <si>
    <t>Other Civil / Mechanical Utilities – Øvrige Bygge / VVS installationer</t>
  </si>
  <si>
    <t>G40</t>
  </si>
  <si>
    <t>Site Electrical Utilities – Terræn El installationer</t>
  </si>
  <si>
    <t>G4010</t>
  </si>
  <si>
    <t>Electrical Distribution - Elinstallation &amp; Fordeling</t>
  </si>
  <si>
    <t>G4020</t>
  </si>
  <si>
    <t>Exterior Lighting – Udvendige Belysning</t>
  </si>
  <si>
    <t>G4030</t>
  </si>
  <si>
    <t>Exterior Communications &amp; Security – Udvendige Kommunikation &amp; Sikringsanlæg</t>
  </si>
  <si>
    <t>G4040</t>
  </si>
  <si>
    <t>Other Electrical Utilities – Øvrige El installationer</t>
  </si>
  <si>
    <t>G50</t>
  </si>
  <si>
    <t>Other Site Construction – Øvrige Terræn Konstruktion</t>
  </si>
  <si>
    <t>G5010</t>
  </si>
  <si>
    <t>Service Tunnels – Service Tunneler</t>
  </si>
  <si>
    <t>G501001</t>
  </si>
  <si>
    <t>Tunnel 220</t>
  </si>
  <si>
    <t>G501002</t>
  </si>
  <si>
    <t>Tunnel 210</t>
  </si>
  <si>
    <t>G5020</t>
  </si>
  <si>
    <t>Other Site Systems &amp; Equipment – Øvrige Terræn Systemer &amp; Inventar</t>
  </si>
  <si>
    <t>G502001</t>
  </si>
  <si>
    <t>Mobilsug konstruktion</t>
  </si>
  <si>
    <t>G502002</t>
  </si>
  <si>
    <t>Øvrige konstruktioner</t>
  </si>
  <si>
    <t>H</t>
  </si>
  <si>
    <t>Byggeplads - Building Site</t>
  </si>
  <si>
    <t>H10</t>
  </si>
  <si>
    <t>Etablering af byggeplads</t>
  </si>
  <si>
    <t>H20</t>
  </si>
  <si>
    <t>Drift af Byggeplads frem til aflevering</t>
  </si>
  <si>
    <t>H30</t>
  </si>
  <si>
    <t>Afrigning af byggeplads</t>
  </si>
  <si>
    <t>Indeks</t>
  </si>
  <si>
    <t>Sagsnr</t>
  </si>
  <si>
    <t>(N) Ny
(O) Ombygning
(Ne) Nedrives</t>
  </si>
  <si>
    <t>Projekt type</t>
  </si>
  <si>
    <t>Ydelse</t>
  </si>
  <si>
    <t>Mængde</t>
  </si>
  <si>
    <t>Enhed</t>
  </si>
  <si>
    <t>Mængde (bruttoareal)</t>
  </si>
  <si>
    <t>Enhedspris (gns)</t>
  </si>
  <si>
    <t>Kostpris (gns)</t>
  </si>
  <si>
    <t>Kostpris / m2</t>
  </si>
  <si>
    <t>Indeks nr.</t>
  </si>
  <si>
    <t>Projekt navn</t>
  </si>
  <si>
    <t>Dato</t>
  </si>
  <si>
    <t>Niveau 1</t>
  </si>
  <si>
    <t>Niveau 2</t>
  </si>
  <si>
    <t>Niveau 3</t>
  </si>
  <si>
    <t>Niveau 4</t>
  </si>
  <si>
    <t>Niveau 5</t>
  </si>
  <si>
    <t>Hvor mange gange</t>
  </si>
  <si>
    <t>lbm</t>
  </si>
  <si>
    <t>Komplettering</t>
  </si>
  <si>
    <t>Byggeplads</t>
  </si>
  <si>
    <t>H. Byggeplads - Building Site</t>
  </si>
  <si>
    <t>H10. Etablering af byggeplads</t>
  </si>
  <si>
    <t>H20. Drift af Byggeplads frem til aflevering</t>
  </si>
  <si>
    <t>H30. Afrigning af byggeplads</t>
  </si>
  <si>
    <t>G. Building Sitework - Grund &amp; Terræn arbejder</t>
  </si>
  <si>
    <t>G1030. Site Earthwork – Grund jordarbejder</t>
  </si>
  <si>
    <t>G103007. Udgravning af jord</t>
  </si>
  <si>
    <t>G103002. Afrømning af jord</t>
  </si>
  <si>
    <t>G103003. Til- og påfyldninger</t>
  </si>
  <si>
    <t>G1020. Site Demolition &amp; Relocation – Grund nedrivning og flytning</t>
  </si>
  <si>
    <t>G30. Site Civil / Mechanical Utilities - Grund Bygge / VVS installationer</t>
  </si>
  <si>
    <t>G3020. Sanitary Sewer Systems - Sanitet Kloak Systemer</t>
  </si>
  <si>
    <t>G302001. Afløbsanlæg for regnvand og spildevand</t>
  </si>
  <si>
    <t>G302002. Afløbsanlæg for dræn</t>
  </si>
  <si>
    <t>G302003. Fedtudskiller</t>
  </si>
  <si>
    <t>G302004. Pumpebrønde</t>
  </si>
  <si>
    <t>A. Substructure - Bygningsbasis</t>
  </si>
  <si>
    <t>A10. Foundations - Fundamenter</t>
  </si>
  <si>
    <t>A1010. Standard Foundations - Standard Fundamenter</t>
  </si>
  <si>
    <t>A101001. Brøndfundamenter</t>
  </si>
  <si>
    <t>A101002. Liniefundamenter</t>
  </si>
  <si>
    <t>A101003. Punktfundamenter</t>
  </si>
  <si>
    <t>A101004. Fundamentsbjælker</t>
  </si>
  <si>
    <t>A1030. Slab on grade - Terrændæk</t>
  </si>
  <si>
    <t>A103001. Terrændæk, kældre</t>
  </si>
  <si>
    <t>A103002. Terrændæk, terrænniveau</t>
  </si>
  <si>
    <t>G50. Other Site Construction – Øvrige Terræn Konstruktion</t>
  </si>
  <si>
    <t>G5010. Service Tunnels – Service Tunneler</t>
  </si>
  <si>
    <t>G501001. Tunnel 220</t>
  </si>
  <si>
    <t>G501002. Tunnel 210</t>
  </si>
  <si>
    <t>A103003. Læsserampe</t>
  </si>
  <si>
    <t>A103004. Øvrige</t>
  </si>
  <si>
    <t>A20. Basement Construction - Kælder konstruktion</t>
  </si>
  <si>
    <t>A2020. Basement Walls - Inder - Yder- vægge kælder</t>
  </si>
  <si>
    <t>A202001. Kælderydervægge, insitu</t>
  </si>
  <si>
    <t>B. Shell - Råhus</t>
  </si>
  <si>
    <t>B40. Interior Walls (concrete)- InderVægge (beton)</t>
  </si>
  <si>
    <t>B4040. Indervægge, insitu</t>
  </si>
  <si>
    <t>B4010. Elevatorskakte</t>
  </si>
  <si>
    <t>B10. Superstructure - Primære bygningsdele</t>
  </si>
  <si>
    <t>B1010. Floor Construction - Etage dæk konstruktion</t>
  </si>
  <si>
    <t>B101001. Etagedæk, insitu</t>
  </si>
  <si>
    <t>B101002. Etagedæk, svømmende</t>
  </si>
  <si>
    <t>A202002. Kælderydervægge, element, leverance</t>
  </si>
  <si>
    <t>A202005. Kælderindervægge, leverance</t>
  </si>
  <si>
    <t>B4020. Indervægge, leverance</t>
  </si>
  <si>
    <t>B20. Exterior Closure - Udvendige arbejde</t>
  </si>
  <si>
    <t>B2010. Exterior Walls - Udvendige Vægge</t>
  </si>
  <si>
    <t>B201001. Søjler, leverance</t>
  </si>
  <si>
    <t>B101003. Etagedæk, elementer, leverance</t>
  </si>
  <si>
    <t>C. Interiors - Komplettering</t>
  </si>
  <si>
    <t>C20. Staircases - Trapper</t>
  </si>
  <si>
    <t>C2010. Stair Construction - Trappe konstruktion</t>
  </si>
  <si>
    <t>C201001. Tribune elementer, leverance</t>
  </si>
  <si>
    <t>B101004. Bjælker, elementer, leverance</t>
  </si>
  <si>
    <t>C201002. Trapper og reposer, leverance</t>
  </si>
  <si>
    <t>A202003. Støttemure, montage</t>
  </si>
  <si>
    <t>A202004. Kælderydervægge, element, montage</t>
  </si>
  <si>
    <t>A202006. Kælderindervægge, montage</t>
  </si>
  <si>
    <t>B4030. Indervægge, montage</t>
  </si>
  <si>
    <t>B201002. Søjler, montage</t>
  </si>
  <si>
    <t>B101005. Etagedæk, elementer, montage</t>
  </si>
  <si>
    <t>C201003. Tribune elementer, montage</t>
  </si>
  <si>
    <t>B101006. Bjælker, elementer, montage</t>
  </si>
  <si>
    <t>C201004. Trapper og reposer, montage</t>
  </si>
  <si>
    <t>B101007. Bjælker, Kompositbjælker</t>
  </si>
  <si>
    <t>B101008. Øvrigt stål</t>
  </si>
  <si>
    <t>B201003. Facader</t>
  </si>
  <si>
    <t>B201011. Solafskærmning</t>
  </si>
  <si>
    <t>B201004. Øvrige - Facader</t>
  </si>
  <si>
    <t>B2030. Exterior Doors - Udvendige Døre</t>
  </si>
  <si>
    <t>B203001. Udv. døre</t>
  </si>
  <si>
    <t>B203002. Udv. Døre - beslåning</t>
  </si>
  <si>
    <t>B30. Roofing - Tag</t>
  </si>
  <si>
    <t>B3010. Roof Coverings - Tag dækning</t>
  </si>
  <si>
    <t>B3020. Roof Openings - Tag åbninger</t>
  </si>
  <si>
    <t>C201005. Ståltrapper</t>
  </si>
  <si>
    <t>C10. Interior Construction - Inder Konstruktion</t>
  </si>
  <si>
    <t>C1010. Partitions - Skillevægge</t>
  </si>
  <si>
    <t>C101001. Komplettering - indv. Facade</t>
  </si>
  <si>
    <t>C101006. Øvrige vægge</t>
  </si>
  <si>
    <t>C101003. Indv. gipsvægge</t>
  </si>
  <si>
    <t>C101004. Indv. glasvægge</t>
  </si>
  <si>
    <t>C1020. Interior Doors - Indvendige Døre</t>
  </si>
  <si>
    <t>C102001. Indv. Dør</t>
  </si>
  <si>
    <t>C102003. Indv. Døre i Glasvægge</t>
  </si>
  <si>
    <t>C102004. Indv. Døre - beslåning</t>
  </si>
  <si>
    <t>C101005. Indv. mobilvægge</t>
  </si>
  <si>
    <t>C30. Interior Finishes - Indvendige overflader</t>
  </si>
  <si>
    <t>C3010. Wall Finishes - Vægge overflader</t>
  </si>
  <si>
    <t>C301006. Vinduesplade</t>
  </si>
  <si>
    <t>C3020. Floor Finishes - Gulve overflader</t>
  </si>
  <si>
    <t>C302001. Fodpaneler</t>
  </si>
  <si>
    <t>C1030. Specialties / Fittings - Armaturer / Udstyr</t>
  </si>
  <si>
    <t>C103003. Øvrige</t>
  </si>
  <si>
    <t>E. Equipment &amp; Furnishings - Inventar &amp; Møbler</t>
  </si>
  <si>
    <t>E20. Furnishings - Møbler</t>
  </si>
  <si>
    <t>E2010. Fixed Furnishings - Fast Møbler</t>
  </si>
  <si>
    <t>C2020. Stair Finishes - Trappe overflader</t>
  </si>
  <si>
    <t>C301005. Fliser</t>
  </si>
  <si>
    <t>C302003. Gulve</t>
  </si>
  <si>
    <t>C302002. Undergulve</t>
  </si>
  <si>
    <t>C3030. Ceiling Finishes - Lofter overflader</t>
  </si>
  <si>
    <t>C303001. Lofter</t>
  </si>
  <si>
    <t>C301001. Maling Indv. Gipsvægge - overflader</t>
  </si>
  <si>
    <t>C301002. Maling Indv. porebetonvægge</t>
  </si>
  <si>
    <t>C301003. Maling Betonvægge</t>
  </si>
  <si>
    <t>C301004. Maling Betonsøjler</t>
  </si>
  <si>
    <t>C303002. Maling - Lofter</t>
  </si>
  <si>
    <t>C302004. Rengøring</t>
  </si>
  <si>
    <t>G40. Site Electrical Utilities – Terræn El installationer</t>
  </si>
  <si>
    <t>G4010. Electrical Distribution - Elinstallation &amp; Fordeling</t>
  </si>
  <si>
    <t>G4020. Exterior Lighting – Udvendige Belysning</t>
  </si>
  <si>
    <t>D. Services - Installationer</t>
  </si>
  <si>
    <t>D50. Electrical - EL</t>
  </si>
  <si>
    <t>D5040. Special Electrical Systems - Specielle El Systemer</t>
  </si>
  <si>
    <t>D504004. Jordelektrodeanlæg</t>
  </si>
  <si>
    <t>D5010. Electrical Service &amp; Distribution - Elinstallation &amp; Fordeling</t>
  </si>
  <si>
    <t>D501001. Kabelveje for lavspænding</t>
  </si>
  <si>
    <t>C103002. Brand- og lydtætninger</t>
  </si>
  <si>
    <t>D504005. Installationer for apparater og maskiner</t>
  </si>
  <si>
    <t>D504002. UPS-anlæg</t>
  </si>
  <si>
    <t>D501002. Hovedledninger</t>
  </si>
  <si>
    <t>D501003. Hovedfordelingstavler</t>
  </si>
  <si>
    <t>D501004. Gruppefordelingstavler</t>
  </si>
  <si>
    <t>D5020. Lighting &amp; Branch Wiring - Belysning &amp; Ledningsføring</t>
  </si>
  <si>
    <t>D502001. Installationer for belysning</t>
  </si>
  <si>
    <t>D504001. Sikkerhedsbelysning</t>
  </si>
  <si>
    <t>D501005. Anlæg for stikkontakter</t>
  </si>
  <si>
    <t>D502002. Belysningsarmaturer</t>
  </si>
  <si>
    <t>D5030. Communication &amp; Security Systems - Kommunikations- &amp; Sikringsanlæg</t>
  </si>
  <si>
    <t>D503001. Dørtelefonanlæg</t>
  </si>
  <si>
    <t>D503002. Informationsanlæg</t>
  </si>
  <si>
    <t>D503003. Antenneanlæg</t>
  </si>
  <si>
    <t>D503004. PDS-kabling og krydsfelter</t>
  </si>
  <si>
    <t>D503005. AIA-anlæg</t>
  </si>
  <si>
    <t>D503006. ABA- og ABDL-anlæg</t>
  </si>
  <si>
    <t>D503007. Automatisk Brandventilationsanlæg (ABV)</t>
  </si>
  <si>
    <t>D503008. Talevarslingsanlæg</t>
  </si>
  <si>
    <t>D504003. Alarmanlæg i køle- og fryserum</t>
  </si>
  <si>
    <t>D503009. IBI-anlæg</t>
  </si>
  <si>
    <t>D504006. Beskyttelsessystemer</t>
  </si>
  <si>
    <t>D10. Conveying Systems - Transportanlæg Systemer</t>
  </si>
  <si>
    <t>D1010. Elevators &amp; Lifts - Elevatorer</t>
  </si>
  <si>
    <t>D101001. Elevatorer</t>
  </si>
  <si>
    <t>D101002. Handicaplift</t>
  </si>
  <si>
    <t>D1030. Other Conveying Systems - Øvrige Transportanlæg Systemer</t>
  </si>
  <si>
    <t>D103001. Løftebord</t>
  </si>
  <si>
    <t>D30. HVAC - VVS</t>
  </si>
  <si>
    <t>D3060. Controls &amp; Instrumentation - Kontrol &amp; Instrumentation</t>
  </si>
  <si>
    <t>D306001. Scada- Hovedstation</t>
  </si>
  <si>
    <t>D306002. Varmecentral, CTS</t>
  </si>
  <si>
    <t>D306003. Køling komfort, CTS</t>
  </si>
  <si>
    <t>D306004. Køling process, CTS</t>
  </si>
  <si>
    <t>D306005. Kontrolventilation, CTS</t>
  </si>
  <si>
    <t>D306006. Laboratorieventilation, CTS</t>
  </si>
  <si>
    <t>D306007. Behandlet vand, CTS</t>
  </si>
  <si>
    <t>D306008. Trykluft, CTS</t>
  </si>
  <si>
    <t>D306009. Vacuum, CTS</t>
  </si>
  <si>
    <t>D306010. Diverse anlæg, CTS</t>
  </si>
  <si>
    <t>D306011. CTS netværk</t>
  </si>
  <si>
    <t>D306012. Indregulering og færdiggørelse</t>
  </si>
  <si>
    <t>D20. Plumbing - Vandinstallationer</t>
  </si>
  <si>
    <t>D2030. Sanitary Waste - Sanitet afløb spildevand</t>
  </si>
  <si>
    <t>D203001. Afløb - Faldstammer</t>
  </si>
  <si>
    <t>D2040. Rain Water Drainage - Afvanding regn</t>
  </si>
  <si>
    <t>D204001. Afløb - Tagvand</t>
  </si>
  <si>
    <t>D2010. Plumbing Fixtures - Vandinstallation armaturer m.m.</t>
  </si>
  <si>
    <t>D203002. Afløb - Sanitet</t>
  </si>
  <si>
    <t>D2020. Domestic Water Distribution - Brugsvand fordeling</t>
  </si>
  <si>
    <t>D202005. Vand - Forsyningsanlæg</t>
  </si>
  <si>
    <t>D202001. Røranlæg for brugsvandsanlæg</t>
  </si>
  <si>
    <t>D202002. Røranlæg for behandlet vand</t>
  </si>
  <si>
    <t>D202003. Røranlæg for blødgjort vand</t>
  </si>
  <si>
    <t>D202004. Stigrør</t>
  </si>
  <si>
    <t>C103001. Vand - Forbrugsanlæg</t>
  </si>
  <si>
    <t>D3070. Special HVAC Systems &amp; Equipment - Speciel VVS Systemer &amp; Inventar</t>
  </si>
  <si>
    <t>D307001. Luftarter - Forsyningsanlæg</t>
  </si>
  <si>
    <t>D307002. Luftarter - Distributionsanlæg</t>
  </si>
  <si>
    <t>D307003. Luftarter - forbrugsanlæg</t>
  </si>
  <si>
    <t>D3030. Cooling Generating System - kølesystem</t>
  </si>
  <si>
    <t>D303001. Køling - Forsyningsanlæg</t>
  </si>
  <si>
    <t>D303002. Køling - Distributionsanlæg</t>
  </si>
  <si>
    <t>D303003. Køling - Forbrugsanlæg</t>
  </si>
  <si>
    <t>D3020. Heat Generating System - Varmeinstallationer</t>
  </si>
  <si>
    <t>D302001. Varme - Forsyningsanlæg</t>
  </si>
  <si>
    <t>D302002. Varme - Distributionsanlæg</t>
  </si>
  <si>
    <t>D302003. Varme - Forbrugsanlæg</t>
  </si>
  <si>
    <t>D40. Fire Protection - Brand</t>
  </si>
  <si>
    <t>D4010. Fire Protection Sprinkler Systems - Brand Sprinkling</t>
  </si>
  <si>
    <t>D401001. Tilkobling af nyt sprinklerstik til eksisterende</t>
  </si>
  <si>
    <t>D401002. Sprinklercentral med alarmventiler, trykforøgerpumpe, trykholdepumpe, 
kompressor, kar og tavle</t>
  </si>
  <si>
    <t>D401003. Sprinklertavle i sprinklercentral</t>
  </si>
  <si>
    <t>D401004. Flowswitchpanel</t>
  </si>
  <si>
    <t>D401005. Røranlæg for sprinkling</t>
  </si>
  <si>
    <t>D401006. Tappeprøve</t>
  </si>
  <si>
    <t>D3080. Systems Testing &amp; Balancing - Systemer test &amp; Afbalancering</t>
  </si>
  <si>
    <t>D308001. KS og D&amp;V</t>
  </si>
  <si>
    <t>D308002. Rensning, trykprøvning og indregulering af VVS-anlæg</t>
  </si>
  <si>
    <t>D308003. Øvrige - VVS</t>
  </si>
  <si>
    <t>D3040. Distribution System - Ventilation</t>
  </si>
  <si>
    <t>D304001. Ventilationsaggregater og ventilatorer</t>
  </si>
  <si>
    <t>D304002. Afkast</t>
  </si>
  <si>
    <t>D304003. Kanaler</t>
  </si>
  <si>
    <t>D304004. Lyddæmpere på indtag og afkast</t>
  </si>
  <si>
    <t>D304005. Lyddæmpere i kanalsystem</t>
  </si>
  <si>
    <t>D304006. Volustater</t>
  </si>
  <si>
    <t>D304007. On-off spjæld</t>
  </si>
  <si>
    <t>D304008. Modulerende spjæld</t>
  </si>
  <si>
    <t>D304009. Trykholdespjæld</t>
  </si>
  <si>
    <t>D304010. Volumenstrømsmålere</t>
  </si>
  <si>
    <t>D304011. Volumenstrømsregulatorer</t>
  </si>
  <si>
    <t>D304012. Brandspjæld</t>
  </si>
  <si>
    <t>D304013. Diverse spjæld mv.</t>
  </si>
  <si>
    <t>D304014. Zonevarmeflader</t>
  </si>
  <si>
    <t>D304015. Zonekøleflader</t>
  </si>
  <si>
    <t>D304016. Isolering</t>
  </si>
  <si>
    <t>D304017. Brandlukninger</t>
  </si>
  <si>
    <t>D304018. Ventilationsarmaturer</t>
  </si>
  <si>
    <t>D304019. Øvrige ventilationsarbejder</t>
  </si>
  <si>
    <t>D307004. Laboratorieautomatik
Rum- og stinkskabsautomatik</t>
  </si>
  <si>
    <t>D307005. Stinkskabe og Aftræksskabe</t>
  </si>
  <si>
    <t>D304020. Kanaltilsnutninger</t>
  </si>
  <si>
    <t>G1010. Site Clearing – Rydning af Grund</t>
  </si>
  <si>
    <t>G20. Site Improvements – Grund Forbedringer</t>
  </si>
  <si>
    <t>G2050. Landscaping - Landskab</t>
  </si>
  <si>
    <t>G205001. Beplanting, jordarbejde</t>
  </si>
  <si>
    <t>G2030. Pedestrian Paving - Gågade Brolægning</t>
  </si>
  <si>
    <t>G203001. Belægning og kantsten</t>
  </si>
  <si>
    <t>E2020. Movable Furnishings - Løst inventar</t>
  </si>
  <si>
    <t>G203003. Øvrige</t>
  </si>
  <si>
    <t>E10. Equipment - Inventar</t>
  </si>
  <si>
    <t>E1040. Other Equipment - Andet inventar</t>
  </si>
  <si>
    <t>E104001. Laboratorieinventar</t>
  </si>
  <si>
    <t>G103004. JVA-arbejde</t>
  </si>
  <si>
    <t>G103005. Etablering af infatningsvægge</t>
  </si>
  <si>
    <t>G103008. Øvrige arbejder Site Earthwork</t>
  </si>
  <si>
    <t>G103006. Jordarbejdet for VVS-ledninger i terræn</t>
  </si>
  <si>
    <t>F. Special Construction &amp; Demolition - Speciel konstruktion &amp; Nedrivning</t>
  </si>
  <si>
    <t>F20. Selective Building Demolition - Selektiv Bygning Nedrivning</t>
  </si>
  <si>
    <t>F2010. Building Elements Demolition - Bygningselementer nedrivning</t>
  </si>
  <si>
    <t>F201001. Frakobling af VVS og Ventilation</t>
  </si>
  <si>
    <t>F201002. Frakobling af El</t>
  </si>
  <si>
    <t>F201003. Nedrivnings- og miljøsaneringsarbejder</t>
  </si>
  <si>
    <t>D103002. Stillads</t>
  </si>
  <si>
    <t>C101007. Indvendige Vindue</t>
  </si>
  <si>
    <t>B2020. Exterior Windows - Udvendige Vindue</t>
  </si>
  <si>
    <t>B101013. Trapezplader</t>
  </si>
  <si>
    <t>C301007. Maling Øvrige</t>
  </si>
  <si>
    <t>D504007. Supplerende føringsveje og huller</t>
  </si>
  <si>
    <t>D504009. Andre El Ydelser</t>
  </si>
  <si>
    <t>D504008. El Installation for Solafskærming</t>
  </si>
  <si>
    <t>D306013. CTS automatik</t>
  </si>
  <si>
    <t>D203004. Afløb - Spildevand</t>
  </si>
  <si>
    <t>D203003. Øvrige Arbejder - Afløb</t>
  </si>
  <si>
    <t>Fundamenter</t>
  </si>
  <si>
    <t>m³</t>
  </si>
  <si>
    <t>Tilbud 2</t>
  </si>
  <si>
    <t>Tilbud 3</t>
  </si>
  <si>
    <t>Tilbud 4</t>
  </si>
  <si>
    <t>Tilbud 5</t>
  </si>
  <si>
    <t>Pris i alt Tilbud 1</t>
  </si>
  <si>
    <t>Enhedspris Tilbud 1</t>
  </si>
  <si>
    <t>Pris i alt Tilbud 2</t>
  </si>
  <si>
    <t>Enhedspris Tilbud 2</t>
  </si>
  <si>
    <t>Pris i alt Tilbud 3</t>
  </si>
  <si>
    <t>Enhedspris Tilbud 3</t>
  </si>
  <si>
    <t>Pris i alt Tilbud 4</t>
  </si>
  <si>
    <t>Enhedspris Tilbud 4</t>
  </si>
  <si>
    <t>Pris i alt Tilbud 5</t>
  </si>
  <si>
    <t>Enhedspris Tilbud 5</t>
  </si>
  <si>
    <t>Tilbud 1</t>
  </si>
  <si>
    <t xml:space="preserve">G10. Site Preparation – Forberedelse af Grund </t>
  </si>
  <si>
    <t>D307001a. Trykluftforsyning</t>
  </si>
  <si>
    <t>D307001b. Nitrogenforsyning (gasformig)</t>
  </si>
  <si>
    <t>D307001c. Nitrogenforsyning (flydende)</t>
  </si>
  <si>
    <t>D307001d. Teknikrum for trykluft</t>
  </si>
  <si>
    <t>D307001e. Teknikrum for vakuum</t>
  </si>
  <si>
    <t>D307001f. Gasoplag for brandnærende og inaktive gasser</t>
  </si>
  <si>
    <t>D307001g. Gasoplag for brændbare gasser</t>
  </si>
  <si>
    <t>D307002a. Røranlæg for trykluft, AP</t>
  </si>
  <si>
    <t>D307002b. Røranlæg for vakuum, VA</t>
  </si>
  <si>
    <t>D307002c. Røranlæg for gasformig nitrogen, N2</t>
  </si>
  <si>
    <t>D307002d. Røranlæg for flydende nitrogen, N2Li</t>
  </si>
  <si>
    <t>D307002e. Røranlæg for argon, Ar</t>
  </si>
  <si>
    <t>D307002f. Røranlæg for helium, He</t>
  </si>
  <si>
    <t>D307002g. Røranlæg for oxygen, O2</t>
  </si>
  <si>
    <t>D307002h. Røranlæg for kuldioxid, CO2</t>
  </si>
  <si>
    <t>D307002i. Røranlæg for metan CH4</t>
  </si>
  <si>
    <t>D307002j. Røranlæg for blandingsgas, H2+CO2</t>
  </si>
  <si>
    <t>D307002k. Røranlæg for blandingsgas, N2 + CO2</t>
  </si>
  <si>
    <t>D307002l. Røranlæg for blandingsgas, N2+H2+CO2</t>
  </si>
  <si>
    <t>D307002m. Røranlæg for disponible gasser, D</t>
  </si>
  <si>
    <t>D307003a. Udtag for trykluft, AP</t>
  </si>
  <si>
    <t>D307003b. Udtag for flydende nitrogen, N2Li</t>
  </si>
  <si>
    <t>D307003c. Udtag for kuldioxid, CO2</t>
  </si>
  <si>
    <t>D303002a. Rørsystem for kølerum - kølekreds 1</t>
  </si>
  <si>
    <t>D303002b. Rørsystem for kølerum - kølekreds 2</t>
  </si>
  <si>
    <t>D303002c. Rørsystem for kølerum - kølekreds 3</t>
  </si>
  <si>
    <t>D303002d. Rørsystem for komfortkøling</t>
  </si>
  <si>
    <t>D303002e. Kølerør for eksisterende autoklave</t>
  </si>
  <si>
    <t>D302002a. Ublandet og Blandet varme</t>
  </si>
  <si>
    <t>D302002c. Varmegenvinding</t>
  </si>
  <si>
    <t>D302003a. Gulvvarme</t>
  </si>
  <si>
    <t>D302003b. Radiatorer og konvektorer</t>
  </si>
  <si>
    <t>D307005a. Stinkskabe</t>
  </si>
  <si>
    <t>D307005b. Aftræksskabe</t>
  </si>
  <si>
    <t>D504010. EMC (Elektromagnetisk Compatibility)</t>
  </si>
  <si>
    <t>D307003d. Udtag for vakuum</t>
  </si>
  <si>
    <t>D307002n. Røranlæg for bygas</t>
  </si>
  <si>
    <t>D307003e. Udtag for bygas</t>
  </si>
  <si>
    <t>D307003f. Udtag for helium, He</t>
  </si>
  <si>
    <t>D303002f. Køle- og frostrum</t>
  </si>
  <si>
    <t xml:space="preserve">D304024. Filterbokse </t>
  </si>
  <si>
    <t>G302005. Øvrige kloakarbejder</t>
  </si>
  <si>
    <t>D304021. Indtag</t>
  </si>
  <si>
    <t>B201005. Beton elementvægge, leverance</t>
  </si>
  <si>
    <t>B201006. Beton elementvægge, montage</t>
  </si>
  <si>
    <t>B201007. Stålsøjler</t>
  </si>
  <si>
    <t>B101009. Stålbjælker</t>
  </si>
  <si>
    <t>B1020. Roof Construction - Tag konstruktion</t>
  </si>
  <si>
    <t>A202007. Letklinkebetonblokke</t>
  </si>
  <si>
    <t>B102001. Isolering af tagkonstruktion</t>
  </si>
  <si>
    <t>B101010. Brandisolering af stål</t>
  </si>
  <si>
    <t>B4050. Udstøbningsblokke, udsparinger og tilstøbninger</t>
  </si>
  <si>
    <t>A202008. Porebetonelementer</t>
  </si>
  <si>
    <t>C301008. Øvrige Vægge Overflader</t>
  </si>
  <si>
    <t>C303003. Øvrige Lofter Overflader</t>
  </si>
  <si>
    <t>G205003. Øvrige arbejder ved Landskab</t>
  </si>
  <si>
    <t>G203002. Udgravning og jordhåndtering</t>
  </si>
  <si>
    <t>G2020. Parking Lots - Parkeringspladser</t>
  </si>
  <si>
    <t>G2040. Site Development – Udvikling af Grund / Modning</t>
  </si>
  <si>
    <t>G204004. Inventar - Landskab</t>
  </si>
  <si>
    <t>G204001. Hegning</t>
  </si>
  <si>
    <t>G205002. Beplanting, plantearbejder</t>
  </si>
  <si>
    <t>D307002q. Øvrige gasser</t>
  </si>
  <si>
    <t>D307002o. Røranlæg for Carbogen, CBG</t>
  </si>
  <si>
    <t xml:space="preserve">D307002p. Røranlæg for fremtidige gasser </t>
  </si>
  <si>
    <t>D307003g. Udtag for Argon, Ar</t>
  </si>
  <si>
    <t>D307003h. Udtag for Oxygen, O2</t>
  </si>
  <si>
    <t>D307003i. Udtag for Nitrogen, N2</t>
  </si>
  <si>
    <t>D307003j. Udtag for Carbogen, CBG</t>
  </si>
  <si>
    <t>D307003k. Udtag for Metan, CH4</t>
  </si>
  <si>
    <t>D307003l. Ejektorpumper</t>
  </si>
  <si>
    <t>D303002g. Køleanlæg for klimaceller</t>
  </si>
  <si>
    <t>D304022. Røranlæg i ventilation</t>
  </si>
  <si>
    <t>D304023. Speciel Ventilation</t>
  </si>
  <si>
    <t>D503011. Øvrige El arbejder</t>
  </si>
  <si>
    <t>D504011. Solcelleanlæg</t>
  </si>
  <si>
    <t>D503010. Adgangssystem - Adgangskontrolanlæg (ADK)</t>
  </si>
  <si>
    <t>F10. Special Construction - Speciel Konstruktion</t>
  </si>
  <si>
    <t>F1040. Special Facilities - Specielle Faciliteter</t>
  </si>
  <si>
    <t>D504012. Generatoranlæg</t>
  </si>
  <si>
    <t>D306014. CTS, Afløb</t>
  </si>
  <si>
    <t>D306015. CTS, Brugsvand</t>
  </si>
  <si>
    <t>D306016. CTS, Varmt brugsvand</t>
  </si>
  <si>
    <t>B101012. Pladsstøbte betonbjælker</t>
  </si>
  <si>
    <t>C102005. Behandling af døre</t>
  </si>
  <si>
    <t>C302005. Maling Gulve</t>
  </si>
  <si>
    <t>D202006. Tekniske isolering for brugsvand</t>
  </si>
  <si>
    <t>D302003c. Tekniske isolering for Varme</t>
  </si>
  <si>
    <t>F201004. Rydning af Inventar</t>
  </si>
  <si>
    <t>F1010. Special Structures - Specielle Konstruktioner</t>
  </si>
  <si>
    <t>C201007. Øvrige trapper</t>
  </si>
  <si>
    <t>B201008. Murværk, Letklinkeblokke, osv</t>
  </si>
  <si>
    <t>B201010. Pudsarbejder</t>
  </si>
  <si>
    <t>B201009. Porebetonskillevægge</t>
  </si>
  <si>
    <t>B101011. Ramper</t>
  </si>
  <si>
    <t>E1020. Institutional Equipment - Institutions inventar</t>
  </si>
  <si>
    <t>A1020. Special Foundations - Specielle Fundamenter</t>
  </si>
  <si>
    <t>A202009. Kælder isolering</t>
  </si>
  <si>
    <t>B102002. Halvtagkonstruktion</t>
  </si>
  <si>
    <t>D4020. Stand-Pipe &amp; Hose Systems - Vandtårn &amp; Slange systemer</t>
  </si>
  <si>
    <t>D306017. CTS, Tavler</t>
  </si>
  <si>
    <t>C103004. El lukninger (huller og udsparinger)</t>
  </si>
  <si>
    <t>E104003. Hvidevarer</t>
  </si>
  <si>
    <t>G4030. Exterior Communications &amp; Security – Udvendige Kommunikation &amp; Sikringsanlæg</t>
  </si>
  <si>
    <t>D2050. Special Plumbing Systems - Specielle vandinstallationer</t>
  </si>
  <si>
    <t>B201012. Brandisolering af stål</t>
  </si>
  <si>
    <t>E104002. Sportinventar</t>
  </si>
  <si>
    <t>G4040. Other Electrical Utilities – Øvrige El installationer</t>
  </si>
  <si>
    <t>A101006. Pælefundamenter</t>
  </si>
  <si>
    <t>B203003. Behandling af udv. Døre</t>
  </si>
  <si>
    <t>G5020. Other Site Systems &amp; Equipment – Øvrige Terræn Systemer &amp; Inventar</t>
  </si>
  <si>
    <t>C201006. Trapper -Beton, generelt og pladsstøbt beton</t>
  </si>
  <si>
    <t>G502002. Øvrige konstruktioner</t>
  </si>
  <si>
    <t>G2010. Roadways – Kørebaner / Vejbaner</t>
  </si>
  <si>
    <t>B4060. Øvrige beton konstruktioner</t>
  </si>
  <si>
    <t>A101005. Fundamenter isolering</t>
  </si>
  <si>
    <t>D306018. CTS El arbejder</t>
  </si>
  <si>
    <t>B101014. Træbjælker</t>
  </si>
  <si>
    <t>G3040. Heating Distribution – Varmeinstallationer</t>
  </si>
  <si>
    <t>F1050. Special Controls &amp; Instrumentation - Specielle Kontrol &amp; Instrumentation</t>
  </si>
  <si>
    <t>A202010. Kælderbjælker (leverance, montage)</t>
  </si>
  <si>
    <t>A202011. Kældersøjler (leverance, montage)</t>
  </si>
  <si>
    <t>F1030. Special Construction Systems - Specielle Konstruktion Systemer</t>
  </si>
  <si>
    <t>G502001. Mobilsug konstruktion</t>
  </si>
  <si>
    <t>01.01.01</t>
  </si>
  <si>
    <t>01.01.02</t>
  </si>
  <si>
    <t>01.02.01</t>
  </si>
  <si>
    <t>01.02.02</t>
  </si>
  <si>
    <t>21.01</t>
  </si>
  <si>
    <t>21.02</t>
  </si>
  <si>
    <t>21.03</t>
  </si>
  <si>
    <t>Kontor</t>
  </si>
  <si>
    <t>Kommentarer (MOE)</t>
  </si>
  <si>
    <t>Position 
Tilbud</t>
  </si>
  <si>
    <t>Bygningsbasis</t>
  </si>
  <si>
    <t>Primære bygningsdele</t>
  </si>
  <si>
    <t>VVS-anlæg</t>
  </si>
  <si>
    <t>El- og mekaniske anlæg</t>
  </si>
  <si>
    <t>Terrænarbejder</t>
  </si>
  <si>
    <t>Midlertidig omlægning af busterminal samt retablering</t>
  </si>
  <si>
    <t>Fundamenter revurderet</t>
  </si>
  <si>
    <t>P-dæk</t>
  </si>
  <si>
    <t>Tillæg for gitterkonstruktion</t>
  </si>
  <si>
    <t>Tillæg for sammenbygning</t>
  </si>
  <si>
    <t>Overflader</t>
  </si>
  <si>
    <t>Sprinklerinstallation</t>
  </si>
  <si>
    <t>Håndværkerudgifter</t>
  </si>
  <si>
    <t>INDEXERING 2015K1 - 2016K2:</t>
  </si>
  <si>
    <t>Totalentreprenør dækningsbidrag</t>
  </si>
  <si>
    <t>Totalentreprenør risikopulje</t>
  </si>
  <si>
    <t>Totalentreprenør udførelses risiko</t>
  </si>
  <si>
    <t>Uforudsete</t>
  </si>
  <si>
    <t>Entreprisesum, TE  Heraf indregnet 10% til UE-salær</t>
  </si>
  <si>
    <t>21.04</t>
  </si>
  <si>
    <t>21.05</t>
  </si>
  <si>
    <t>21.06</t>
  </si>
  <si>
    <t>21.07</t>
  </si>
  <si>
    <t>Option</t>
  </si>
  <si>
    <t>21.01.01</t>
  </si>
  <si>
    <t>21.01.02</t>
  </si>
  <si>
    <t>21.02.01</t>
  </si>
  <si>
    <t>21.02.02</t>
  </si>
  <si>
    <t>21.03.01</t>
  </si>
  <si>
    <t>21.03.02</t>
  </si>
  <si>
    <t>21.03.03</t>
  </si>
  <si>
    <t>21.03.04</t>
  </si>
  <si>
    <t>21.04.01</t>
  </si>
  <si>
    <t>21.04.02</t>
  </si>
  <si>
    <t>21.05.01</t>
  </si>
  <si>
    <t>21.05.02</t>
  </si>
  <si>
    <t>21.06.01</t>
  </si>
  <si>
    <t>21.06.02</t>
  </si>
  <si>
    <t>21.06.03</t>
  </si>
  <si>
    <t>21.07.01</t>
  </si>
  <si>
    <t>21.07.02</t>
  </si>
  <si>
    <t>21.07.03</t>
  </si>
  <si>
    <t>Position (Tilbudlist)</t>
  </si>
  <si>
    <t>yes</t>
  </si>
  <si>
    <t>no</t>
  </si>
  <si>
    <t>Kopi fra TBL</t>
  </si>
  <si>
    <t>Vinder tilbud enhedspris</t>
  </si>
  <si>
    <t>Vinder tilbud i alt</t>
  </si>
  <si>
    <t>eksempler 1</t>
  </si>
  <si>
    <t>eksempler 2</t>
  </si>
  <si>
    <t>entreprenør 1</t>
  </si>
  <si>
    <t>entreprenør 2</t>
  </si>
  <si>
    <t>entreprenør 3</t>
  </si>
  <si>
    <t>entreprenør 4</t>
  </si>
  <si>
    <t>entreprenør 5</t>
  </si>
  <si>
    <t>eksempler 4</t>
  </si>
  <si>
    <t>A2010. Basement Excavation - Jordarbejde</t>
  </si>
  <si>
    <t>B202001. Etablering af vindue i fag</t>
  </si>
  <si>
    <t>B202002. Vinduesparti</t>
  </si>
  <si>
    <t>C101002. Indv. vægge</t>
  </si>
  <si>
    <t>C102002. Indv. dørparti DP1</t>
  </si>
  <si>
    <t>D1020. Escalators &amp; Moving Walks - Rulletrappe og rullende fortov</t>
  </si>
  <si>
    <t>D3010. Energy Supply - Energi forsyning</t>
  </si>
  <si>
    <t>D302002b. Blandet varme</t>
  </si>
  <si>
    <t>D3050. Terminal &amp; Package Units</t>
  </si>
  <si>
    <t>D4030. Fire Protection Specialties - Brand Specialiteter</t>
  </si>
  <si>
    <t>D4040. Other Fire Protection Systems - Øvrige Brand Systemer</t>
  </si>
  <si>
    <t>E1010. Commercial Equipment - Forretnings inventar</t>
  </si>
  <si>
    <t>E1030. Vehicular Equipment - Mobilt inventar</t>
  </si>
  <si>
    <t>F1020. Integrated Construction - Indbygget konstruktioner</t>
  </si>
  <si>
    <t>F2020. Hazardous Components Abatement - Fjernelse af farligt materiale</t>
  </si>
  <si>
    <t>G103001. Afrigning</t>
  </si>
  <si>
    <t>G1040. Hazardous Waste Remediation - Farligt Oprydning affald</t>
  </si>
  <si>
    <t>G204002. Generelt</t>
  </si>
  <si>
    <t>G204003. Drift af byggeplads</t>
  </si>
  <si>
    <t>G204005. Skurby og oplagsplads</t>
  </si>
  <si>
    <t>G3010. Water Supply &amp; Distribution Systems – Vand forsyning &amp; fordeling Systemer</t>
  </si>
  <si>
    <t>G3030. Storm Sewer Systems – Storm Kloak Systemer</t>
  </si>
  <si>
    <t>G3050. Cooling Distribution - Kølesystem</t>
  </si>
  <si>
    <t>G3060. Fuel Distribution - Brændstofinstallationer</t>
  </si>
  <si>
    <t>G3070. Other Civil / Mechanical Utilities – Øvrige Bygge / VVS installationer</t>
  </si>
  <si>
    <t>B. Shell - Lukning</t>
  </si>
  <si>
    <t>D. El installationer</t>
  </si>
  <si>
    <t>D. VVS installationer</t>
  </si>
  <si>
    <t>D. Sprinkler</t>
  </si>
  <si>
    <t>Benchmarking klassifikation</t>
  </si>
  <si>
    <t>D. Ventilation</t>
  </si>
  <si>
    <t>D. BMS installationer</t>
  </si>
  <si>
    <t>Remember to copy this sheet, do not work in this sheet!</t>
  </si>
  <si>
    <t>Højest tilbud enhedspris</t>
  </si>
  <si>
    <t>Højest tilbud i alt</t>
  </si>
  <si>
    <t>Vinder Tilbud #</t>
  </si>
  <si>
    <t>Højest tilbud #</t>
  </si>
  <si>
    <t>Vinder tilbud is considered the winner tilbud for an entire package, not for seperate unit prices.</t>
  </si>
  <si>
    <t>Højest tilbud is considered the highest tilbud for an entire package, not for seperate unit prices.</t>
  </si>
  <si>
    <t>Vinder tilbud kostpris /m2</t>
  </si>
  <si>
    <t>Højest tilbud kostpris /m2</t>
  </si>
  <si>
    <t>Kostpris (gns) / m2</t>
  </si>
  <si>
    <t>I alt (gns)</t>
  </si>
  <si>
    <t>Fill only columns marked orange in this row, for the rest- copy formulas</t>
  </si>
  <si>
    <t>This column works as a check tool, to see if there are any repetative items</t>
  </si>
  <si>
    <t>Do not delete this line</t>
  </si>
  <si>
    <t>If there is only 1 tilbud, put the same # in both winner and highest tilbud</t>
  </si>
  <si>
    <t>Checklist before the project is added to the databse.</t>
  </si>
  <si>
    <t>No</t>
  </si>
  <si>
    <t xml:space="preserve">"Position" is filled and does follow accordingly the last project number in "projekter" sheet. </t>
  </si>
  <si>
    <t>If you start classifying building elements from level 3, level 1, level 2 and Benchmarking klassifkation will fill up automatically</t>
  </si>
  <si>
    <t>If there are optional prices in the offer, mark those lines in column "Option" (BE) as a "yes".</t>
  </si>
  <si>
    <t>In the columns H-Q with no data, leave it blank or write 0</t>
  </si>
  <si>
    <t>For classification, select from the list on niveau 3 (AW), the rest of classification will fill in automatically. If in doubt what classification to use, ask others. It is important to have unifomr classification.</t>
  </si>
  <si>
    <t>In "projekter" sheet, fill in ALL information about the project, as in the lines above.</t>
  </si>
  <si>
    <t>Do not work on the template, create new copy.</t>
  </si>
  <si>
    <t>Make sure index (AP-AQ) is as it is on an original offer.</t>
  </si>
  <si>
    <t>Fill "vinder" (AB) and "højest" (AI) tilbud number. If there is only one offer, write for the "vinder #" and "højest #" the same number- 1.</t>
  </si>
  <si>
    <t>Fill "enhedspriser" and "pris i alt" for all tilbuds (columns H-Q). Make sure to copy in formulas in columns R-AA from the template.</t>
  </si>
  <si>
    <t>Name the sheet with a project name.</t>
  </si>
  <si>
    <t>Fill only columns marked orange in this row, yellow lines- copy the formula from above cells</t>
  </si>
  <si>
    <t>Liste N2</t>
  </si>
  <si>
    <t xml:space="preserve">Liste N3 </t>
  </si>
  <si>
    <t>Liste N1</t>
  </si>
  <si>
    <t xml:space="preserve">Xlookuip back </t>
  </si>
  <si>
    <t xml:space="preserve">Niveau 3 </t>
  </si>
  <si>
    <t>2024K4</t>
  </si>
  <si>
    <t>Move the file to "Klar til at sættes ind"</t>
  </si>
  <si>
    <r>
      <t xml:space="preserve">Mark an all rows (1-xx) and columns (A-BE), click </t>
    </r>
    <r>
      <rPr>
        <i/>
        <sz val="11"/>
        <color theme="1"/>
        <rFont val="Calibri"/>
        <family val="2"/>
        <scheme val="minor"/>
      </rPr>
      <t>insert</t>
    </r>
    <r>
      <rPr>
        <sz val="11"/>
        <color theme="1"/>
        <rFont val="Calibri"/>
        <family val="2"/>
        <scheme val="minor"/>
      </rPr>
      <t xml:space="preserve"> and create a </t>
    </r>
    <r>
      <rPr>
        <i/>
        <sz val="11"/>
        <color theme="1"/>
        <rFont val="Calibri"/>
        <family val="2"/>
        <scheme val="minor"/>
      </rPr>
      <t xml:space="preserve">table. </t>
    </r>
    <r>
      <rPr>
        <sz val="11"/>
        <color theme="1"/>
        <rFont val="Calibri"/>
        <family val="2"/>
        <scheme val="minor"/>
      </rPr>
      <t>Name this table "Tabel1"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</si>
</sst>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_-* #,##0.00\ _k_r_._-;\-* #,##0.00\ _k_r_._-;_-* &quot;-&quot;??\ _k_r_._-;_-@_-"/>
    <numFmt numFmtId="165" formatCode="_(* #,##0.00_);_(* \(#,##0.00\);_(* &quot;-&quot;??_);_(@_)"/>
    <numFmt numFmtId="166" formatCode="[$-406]mmmm\ yyyy;@"/>
    <numFmt numFmtId="167" formatCode="_ * #,##0.00_ ;_ * \-#,##0.00_ ;_ * &quot;-&quot;??_ ;_ @_ "/>
    <numFmt numFmtId="168" formatCode="_ &quot;kr.&quot;\ * #,##0.00_ ;_ &quot;kr.&quot;\ * \-#,##0.00_ ;_ &quot;kr.&quot;\ * &quot;-&quot;??_ ;_ @_ "/>
    <numFmt numFmtId="169" formatCode="_(&quot;kr&quot;\ * #,##0.00_);_(&quot;kr&quot;\ * \(#,##0.00\);_(&quot;kr&quot;\ * &quot;-&quot;??_);_(@_)"/>
    <numFmt numFmtId="170" formatCode="_-* #,##0_-;\-* #,##0_-;_-* &quot;-&quot;?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name val="Verdana"/>
      <family val="2"/>
    </font>
    <font>
      <b/>
      <strike/>
      <sz val="10"/>
      <color rgb="FFFF0000"/>
      <name val="Verdana"/>
      <family val="2"/>
    </font>
    <font>
      <b/>
      <strike/>
      <sz val="10"/>
      <color theme="1"/>
      <name val="Verdana"/>
      <family val="2"/>
    </font>
    <font>
      <sz val="10"/>
      <color rgb="FFFF0000"/>
      <name val="Verdana"/>
      <family val="2"/>
    </font>
    <font>
      <sz val="10"/>
      <name val="Verdana"/>
      <family val="2"/>
    </font>
    <font>
      <strike/>
      <sz val="10"/>
      <color theme="1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9"/>
      <color rgb="FFFFFFFF"/>
      <name val="Verdana"/>
      <family val="2"/>
    </font>
    <font>
      <b/>
      <strike/>
      <sz val="10"/>
      <name val="Verdana"/>
      <family val="2"/>
    </font>
    <font>
      <b/>
      <sz val="11"/>
      <color theme="1"/>
      <name val="Verdana"/>
      <family val="2"/>
    </font>
    <font>
      <strike/>
      <sz val="10"/>
      <color rgb="FFFF0000"/>
      <name val="Verdana"/>
      <family val="2"/>
    </font>
    <font>
      <sz val="10"/>
      <name val="Arial"/>
      <family val="2"/>
    </font>
    <font>
      <b/>
      <sz val="10"/>
      <color rgb="FFFF0000"/>
      <name val="Verdana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0"/>
      <color theme="0"/>
      <name val="Verdana"/>
      <family val="2"/>
    </font>
    <font>
      <sz val="11"/>
      <color indexed="8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color rgb="FF7030A0"/>
      <name val="Verdana"/>
      <family val="2"/>
    </font>
    <font>
      <b/>
      <sz val="10"/>
      <color rgb="FF7030A0"/>
      <name val="Verdana"/>
      <family val="2"/>
    </font>
    <font>
      <sz val="11"/>
      <color theme="2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5F666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auto="1"/>
      </top>
      <bottom style="thin">
        <color theme="4" tint="0.39997558519241921"/>
      </bottom>
      <diagonal/>
    </border>
    <border>
      <left style="hair">
        <color auto="1"/>
      </left>
      <right/>
      <top style="thin">
        <color auto="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7" fontId="1" fillId="0" borderId="0" applyFont="0" applyFill="0" applyBorder="0" applyAlignment="0" applyProtection="0"/>
    <xf numFmtId="0" fontId="19" fillId="0" borderId="0" applyNumberFormat="0" applyFont="0" applyFill="0" applyBorder="0">
      <alignment wrapText="1"/>
    </xf>
    <xf numFmtId="0" fontId="19" fillId="0" borderId="0"/>
    <xf numFmtId="0" fontId="19" fillId="0" borderId="0"/>
    <xf numFmtId="168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9" fillId="0" borderId="0"/>
    <xf numFmtId="0" fontId="22" fillId="0" borderId="0"/>
    <xf numFmtId="167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/>
    <xf numFmtId="0" fontId="26" fillId="2" borderId="16" applyNumberFormat="0" applyFont="0" applyAlignment="0" applyProtection="0"/>
    <xf numFmtId="167" fontId="26" fillId="0" borderId="0" applyFont="0" applyFill="0" applyBorder="0" applyAlignment="0" applyProtection="0"/>
    <xf numFmtId="0" fontId="1" fillId="0" borderId="0"/>
    <xf numFmtId="43" fontId="19" fillId="0" borderId="0" applyFont="0" applyFill="0" applyBorder="0" applyAlignment="0" applyProtection="0"/>
    <xf numFmtId="0" fontId="24" fillId="0" borderId="0"/>
  </cellStyleXfs>
  <cellXfs count="196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4" fillId="6" borderId="2" xfId="0" quotePrefix="1" applyFont="1" applyFill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2" xfId="0" quotePrefix="1" applyFont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quotePrefix="1" applyFont="1" applyFill="1" applyBorder="1" applyAlignment="1">
      <alignment vertical="center"/>
    </xf>
    <xf numFmtId="0" fontId="10" fillId="0" borderId="0" xfId="0" applyFont="1"/>
    <xf numFmtId="0" fontId="7" fillId="5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 wrapText="1"/>
    </xf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1" fontId="13" fillId="0" borderId="3" xfId="0" applyNumberFormat="1" applyFont="1" applyBorder="1" applyAlignment="1">
      <alignment vertical="center" wrapText="1"/>
    </xf>
    <xf numFmtId="4" fontId="4" fillId="0" borderId="2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4" fontId="4" fillId="0" borderId="2" xfId="0" applyNumberFormat="1" applyFont="1" applyBorder="1" applyAlignment="1">
      <alignment vertical="center" wrapText="1"/>
    </xf>
    <xf numFmtId="1" fontId="14" fillId="0" borderId="2" xfId="0" applyNumberFormat="1" applyFont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 wrapText="1"/>
    </xf>
    <xf numFmtId="4" fontId="16" fillId="0" borderId="2" xfId="0" applyNumberFormat="1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49" fontId="0" fillId="0" borderId="0" xfId="0" applyNumberFormat="1"/>
    <xf numFmtId="0" fontId="5" fillId="0" borderId="0" xfId="0" applyFont="1" applyAlignment="1">
      <alignment horizontal="center"/>
    </xf>
    <xf numFmtId="0" fontId="11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/>
    <xf numFmtId="170" fontId="7" fillId="9" borderId="1" xfId="13" applyNumberFormat="1" applyFont="1" applyFill="1" applyBorder="1" applyAlignment="1">
      <alignment horizontal="center" vertical="center" wrapText="1"/>
    </xf>
    <xf numFmtId="0" fontId="25" fillId="10" borderId="6" xfId="0" applyFont="1" applyFill="1" applyBorder="1" applyAlignment="1">
      <alignment horizontal="center" vertical="center"/>
    </xf>
    <xf numFmtId="170" fontId="0" fillId="0" borderId="0" xfId="13" applyNumberFormat="1" applyFont="1"/>
    <xf numFmtId="170" fontId="6" fillId="10" borderId="1" xfId="13" applyNumberFormat="1" applyFont="1" applyFill="1" applyBorder="1" applyAlignment="1">
      <alignment horizontal="center" vertical="center" wrapText="1"/>
    </xf>
    <xf numFmtId="170" fontId="6" fillId="3" borderId="1" xfId="13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43" fontId="0" fillId="0" borderId="0" xfId="13" applyFont="1"/>
    <xf numFmtId="43" fontId="6" fillId="3" borderId="1" xfId="13" applyFont="1" applyFill="1" applyBorder="1" applyAlignment="1">
      <alignment horizontal="center" vertical="center" wrapText="1"/>
    </xf>
    <xf numFmtId="170" fontId="7" fillId="9" borderId="17" xfId="13" applyNumberFormat="1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 wrapText="1"/>
    </xf>
    <xf numFmtId="170" fontId="1" fillId="0" borderId="0" xfId="13" applyNumberFormat="1" applyFont="1" applyFill="1"/>
    <xf numFmtId="43" fontId="1" fillId="0" borderId="0" xfId="13" applyFont="1" applyFill="1"/>
    <xf numFmtId="0" fontId="3" fillId="12" borderId="0" xfId="0" applyFont="1" applyFill="1"/>
    <xf numFmtId="49" fontId="3" fillId="12" borderId="0" xfId="0" applyNumberFormat="1" applyFont="1" applyFill="1"/>
    <xf numFmtId="170" fontId="3" fillId="12" borderId="0" xfId="13" applyNumberFormat="1" applyFont="1" applyFill="1"/>
    <xf numFmtId="43" fontId="3" fillId="12" borderId="0" xfId="13" applyFont="1" applyFill="1"/>
    <xf numFmtId="0" fontId="0" fillId="12" borderId="0" xfId="0" applyFill="1"/>
    <xf numFmtId="170" fontId="21" fillId="0" borderId="0" xfId="13" applyNumberFormat="1" applyFont="1" applyFill="1"/>
    <xf numFmtId="0" fontId="27" fillId="0" borderId="0" xfId="0" applyFont="1"/>
    <xf numFmtId="170" fontId="27" fillId="0" borderId="0" xfId="13" applyNumberFormat="1" applyFont="1" applyFill="1"/>
    <xf numFmtId="43" fontId="27" fillId="0" borderId="0" xfId="13" applyFont="1" applyFill="1"/>
    <xf numFmtId="0" fontId="2" fillId="0" borderId="0" xfId="0" applyFont="1"/>
    <xf numFmtId="170" fontId="0" fillId="0" borderId="0" xfId="13" applyNumberFormat="1" applyFont="1" applyFill="1"/>
    <xf numFmtId="0" fontId="28" fillId="0" borderId="0" xfId="0" applyFont="1"/>
    <xf numFmtId="0" fontId="29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vertical="center"/>
    </xf>
    <xf numFmtId="0" fontId="29" fillId="0" borderId="2" xfId="0" applyFont="1" applyBorder="1" applyAlignment="1">
      <alignment vertical="center" wrapText="1"/>
    </xf>
    <xf numFmtId="0" fontId="29" fillId="8" borderId="0" xfId="0" applyFont="1" applyFill="1" applyAlignment="1">
      <alignment horizontal="center" vertical="center"/>
    </xf>
    <xf numFmtId="0" fontId="30" fillId="0" borderId="0" xfId="0" applyFont="1"/>
    <xf numFmtId="170" fontId="30" fillId="0" borderId="0" xfId="13" applyNumberFormat="1" applyFont="1" applyAlignment="1">
      <alignment wrapText="1"/>
    </xf>
    <xf numFmtId="170" fontId="30" fillId="0" borderId="0" xfId="13" applyNumberFormat="1" applyFont="1" applyFill="1"/>
    <xf numFmtId="170" fontId="30" fillId="0" borderId="0" xfId="13" applyNumberFormat="1" applyFont="1"/>
    <xf numFmtId="43" fontId="30" fillId="0" borderId="0" xfId="13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4" fillId="6" borderId="2" xfId="0" quotePrefix="1" applyFont="1" applyFill="1" applyBorder="1" applyAlignment="1">
      <alignment vertical="center" wrapText="1"/>
    </xf>
    <xf numFmtId="0" fontId="9" fillId="0" borderId="2" xfId="0" quotePrefix="1" applyFont="1" applyBorder="1" applyAlignment="1">
      <alignment vertical="center" wrapText="1"/>
    </xf>
    <xf numFmtId="0" fontId="7" fillId="6" borderId="2" xfId="0" quotePrefix="1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" fontId="14" fillId="0" borderId="2" xfId="0" applyNumberFormat="1" applyFont="1" applyBorder="1" applyAlignment="1">
      <alignment vertical="center" wrapText="1"/>
    </xf>
    <xf numFmtId="0" fontId="5" fillId="5" borderId="15" xfId="0" applyFont="1" applyFill="1" applyBorder="1"/>
    <xf numFmtId="0" fontId="13" fillId="0" borderId="3" xfId="0" applyFont="1" applyBorder="1" applyAlignment="1">
      <alignment vertical="center" wrapText="1"/>
    </xf>
    <xf numFmtId="0" fontId="32" fillId="0" borderId="0" xfId="0" applyFont="1"/>
    <xf numFmtId="0" fontId="5" fillId="6" borderId="19" xfId="0" applyFont="1" applyFill="1" applyBorder="1"/>
    <xf numFmtId="0" fontId="5" fillId="7" borderId="18" xfId="0" applyFont="1" applyFill="1" applyBorder="1" applyAlignment="1">
      <alignment wrapText="1"/>
    </xf>
    <xf numFmtId="0" fontId="11" fillId="7" borderId="18" xfId="0" applyFont="1" applyFill="1" applyBorder="1" applyAlignment="1">
      <alignment wrapText="1"/>
    </xf>
    <xf numFmtId="0" fontId="18" fillId="7" borderId="18" xfId="0" applyFont="1" applyFill="1" applyBorder="1" applyAlignment="1">
      <alignment wrapText="1"/>
    </xf>
    <xf numFmtId="0" fontId="17" fillId="6" borderId="19" xfId="0" applyFont="1" applyFill="1" applyBorder="1"/>
    <xf numFmtId="0" fontId="17" fillId="5" borderId="15" xfId="0" applyFont="1" applyFill="1" applyBorder="1"/>
    <xf numFmtId="0" fontId="17" fillId="7" borderId="18" xfId="0" applyFont="1" applyFill="1" applyBorder="1" applyAlignment="1">
      <alignment wrapText="1"/>
    </xf>
    <xf numFmtId="0" fontId="17" fillId="0" borderId="0" xfId="0" applyFont="1" applyAlignment="1">
      <alignment horizontal="left"/>
    </xf>
    <xf numFmtId="43" fontId="0" fillId="0" borderId="0" xfId="0" applyNumberFormat="1"/>
    <xf numFmtId="0" fontId="0" fillId="0" borderId="11" xfId="0" applyBorder="1"/>
    <xf numFmtId="3" fontId="0" fillId="0" borderId="11" xfId="0" applyNumberFormat="1" applyBorder="1"/>
    <xf numFmtId="3" fontId="0" fillId="0" borderId="7" xfId="0" applyNumberFormat="1" applyBorder="1"/>
    <xf numFmtId="3" fontId="0" fillId="0" borderId="9" xfId="0" applyNumberFormat="1" applyBorder="1"/>
    <xf numFmtId="43" fontId="0" fillId="0" borderId="11" xfId="0" applyNumberFormat="1" applyBorder="1"/>
    <xf numFmtId="43" fontId="0" fillId="0" borderId="7" xfId="0" applyNumberFormat="1" applyBorder="1"/>
    <xf numFmtId="0" fontId="0" fillId="0" borderId="9" xfId="0" applyBorder="1"/>
    <xf numFmtId="14" fontId="0" fillId="0" borderId="11" xfId="0" applyNumberFormat="1" applyBorder="1"/>
    <xf numFmtId="0" fontId="0" fillId="0" borderId="8" xfId="0" applyBorder="1"/>
    <xf numFmtId="49" fontId="0" fillId="13" borderId="0" xfId="0" applyNumberFormat="1" applyFill="1"/>
    <xf numFmtId="0" fontId="0" fillId="13" borderId="0" xfId="0" applyFill="1"/>
    <xf numFmtId="49" fontId="31" fillId="0" borderId="11" xfId="0" applyNumberFormat="1" applyFont="1" applyBorder="1"/>
    <xf numFmtId="0" fontId="0" fillId="0" borderId="7" xfId="0" applyBorder="1"/>
    <xf numFmtId="170" fontId="6" fillId="15" borderId="22" xfId="13" applyNumberFormat="1" applyFont="1" applyFill="1" applyBorder="1" applyAlignment="1">
      <alignment horizontal="center" vertical="center" wrapText="1"/>
    </xf>
    <xf numFmtId="170" fontId="6" fillId="15" borderId="24" xfId="13" applyNumberFormat="1" applyFont="1" applyFill="1" applyBorder="1" applyAlignment="1">
      <alignment horizontal="center" vertical="center" wrapText="1"/>
    </xf>
    <xf numFmtId="43" fontId="6" fillId="15" borderId="24" xfId="13" applyFont="1" applyFill="1" applyBorder="1" applyAlignment="1">
      <alignment horizontal="center" vertical="center" wrapText="1"/>
    </xf>
    <xf numFmtId="170" fontId="7" fillId="13" borderId="22" xfId="13" applyNumberFormat="1" applyFont="1" applyFill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 wrapText="1"/>
    </xf>
    <xf numFmtId="166" fontId="6" fillId="10" borderId="23" xfId="0" applyNumberFormat="1" applyFont="1" applyFill="1" applyBorder="1" applyAlignment="1">
      <alignment horizontal="center" vertical="center" wrapText="1"/>
    </xf>
    <xf numFmtId="0" fontId="6" fillId="14" borderId="23" xfId="0" applyFont="1" applyFill="1" applyBorder="1" applyAlignment="1">
      <alignment horizontal="center" vertical="center"/>
    </xf>
    <xf numFmtId="0" fontId="6" fillId="14" borderId="23" xfId="0" applyFont="1" applyFill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170" fontId="6" fillId="3" borderId="22" xfId="13" applyNumberFormat="1" applyFont="1" applyFill="1" applyBorder="1" applyAlignment="1">
      <alignment horizontal="center" vertical="center" wrapText="1"/>
    </xf>
    <xf numFmtId="170" fontId="6" fillId="3" borderId="23" xfId="13" applyNumberFormat="1" applyFont="1" applyFill="1" applyBorder="1" applyAlignment="1">
      <alignment horizontal="center" vertical="center" wrapText="1"/>
    </xf>
    <xf numFmtId="43" fontId="6" fillId="3" borderId="23" xfId="13" applyFont="1" applyFill="1" applyBorder="1" applyAlignment="1">
      <alignment horizontal="center" vertical="center" wrapText="1"/>
    </xf>
    <xf numFmtId="49" fontId="6" fillId="10" borderId="22" xfId="0" applyNumberFormat="1" applyFont="1" applyFill="1" applyBorder="1" applyAlignment="1">
      <alignment horizontal="center" vertical="center"/>
    </xf>
    <xf numFmtId="170" fontId="6" fillId="10" borderId="23" xfId="13" applyNumberFormat="1" applyFont="1" applyFill="1" applyBorder="1" applyAlignment="1">
      <alignment horizontal="center" vertical="center" wrapText="1"/>
    </xf>
    <xf numFmtId="170" fontId="7" fillId="9" borderId="22" xfId="13" applyNumberFormat="1" applyFont="1" applyFill="1" applyBorder="1" applyAlignment="1">
      <alignment horizontal="center" vertical="center" wrapText="1"/>
    </xf>
    <xf numFmtId="170" fontId="7" fillId="11" borderId="23" xfId="13" applyNumberFormat="1" applyFont="1" applyFill="1" applyBorder="1" applyAlignment="1">
      <alignment horizontal="center" vertical="center" wrapText="1"/>
    </xf>
    <xf numFmtId="170" fontId="7" fillId="13" borderId="23" xfId="13" applyNumberFormat="1" applyFont="1" applyFill="1" applyBorder="1" applyAlignment="1">
      <alignment horizontal="center" vertical="center" wrapText="1"/>
    </xf>
    <xf numFmtId="43" fontId="7" fillId="13" borderId="23" xfId="13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right"/>
    </xf>
    <xf numFmtId="49" fontId="6" fillId="10" borderId="23" xfId="0" applyNumberFormat="1" applyFont="1" applyFill="1" applyBorder="1" applyAlignment="1">
      <alignment horizontal="center" vertical="center" wrapText="1"/>
    </xf>
    <xf numFmtId="0" fontId="0" fillId="16" borderId="0" xfId="0" applyFill="1"/>
    <xf numFmtId="43" fontId="0" fillId="16" borderId="0" xfId="0" applyNumberFormat="1" applyFill="1"/>
    <xf numFmtId="49" fontId="0" fillId="0" borderId="9" xfId="0" applyNumberFormat="1" applyBorder="1"/>
    <xf numFmtId="49" fontId="0" fillId="0" borderId="11" xfId="0" applyNumberFormat="1" applyBorder="1"/>
    <xf numFmtId="49" fontId="0" fillId="0" borderId="20" xfId="0" applyNumberFormat="1" applyBorder="1"/>
    <xf numFmtId="0" fontId="31" fillId="0" borderId="12" xfId="0" applyFont="1" applyBorder="1"/>
    <xf numFmtId="0" fontId="0" fillId="0" borderId="12" xfId="0" applyBorder="1"/>
    <xf numFmtId="3" fontId="0" fillId="0" borderId="12" xfId="0" applyNumberFormat="1" applyBorder="1"/>
    <xf numFmtId="3" fontId="0" fillId="0" borderId="20" xfId="0" applyNumberFormat="1" applyBorder="1"/>
    <xf numFmtId="43" fontId="0" fillId="0" borderId="12" xfId="0" applyNumberFormat="1" applyBorder="1"/>
    <xf numFmtId="3" fontId="0" fillId="0" borderId="13" xfId="0" applyNumberFormat="1" applyBorder="1"/>
    <xf numFmtId="43" fontId="0" fillId="0" borderId="13" xfId="0" applyNumberFormat="1" applyBorder="1"/>
    <xf numFmtId="49" fontId="0" fillId="0" borderId="12" xfId="0" applyNumberFormat="1" applyBorder="1"/>
    <xf numFmtId="0" fontId="0" fillId="0" borderId="20" xfId="0" applyBorder="1"/>
    <xf numFmtId="14" fontId="0" fillId="0" borderId="12" xfId="0" applyNumberFormat="1" applyBorder="1"/>
    <xf numFmtId="0" fontId="0" fillId="0" borderId="14" xfId="0" applyBorder="1"/>
    <xf numFmtId="0" fontId="6" fillId="10" borderId="24" xfId="0" applyFont="1" applyFill="1" applyBorder="1" applyAlignment="1">
      <alignment horizontal="center" vertical="center"/>
    </xf>
    <xf numFmtId="0" fontId="0" fillId="0" borderId="13" xfId="0" applyBorder="1"/>
    <xf numFmtId="49" fontId="20" fillId="10" borderId="21" xfId="0" applyNumberFormat="1" applyFont="1" applyFill="1" applyBorder="1" applyAlignment="1">
      <alignment horizontal="left" vertical="center"/>
    </xf>
    <xf numFmtId="0" fontId="0" fillId="13" borderId="5" xfId="0" applyFill="1" applyBorder="1"/>
    <xf numFmtId="49" fontId="0" fillId="13" borderId="5" xfId="0" applyNumberFormat="1" applyFill="1" applyBorder="1"/>
    <xf numFmtId="0" fontId="0" fillId="16" borderId="5" xfId="0" applyFill="1" applyBorder="1"/>
    <xf numFmtId="43" fontId="0" fillId="16" borderId="5" xfId="0" applyNumberFormat="1" applyFill="1" applyBorder="1"/>
    <xf numFmtId="0" fontId="0" fillId="13" borderId="26" xfId="0" applyFill="1" applyBorder="1"/>
    <xf numFmtId="0" fontId="0" fillId="0" borderId="27" xfId="0" applyBorder="1"/>
    <xf numFmtId="0" fontId="7" fillId="0" borderId="2" xfId="0" applyFont="1" applyBorder="1" applyAlignment="1">
      <alignment horizontal="left" vertical="center" wrapText="1"/>
    </xf>
    <xf numFmtId="0" fontId="11" fillId="0" borderId="0" xfId="0" applyFont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5" fillId="0" borderId="34" xfId="0" applyFont="1" applyBorder="1"/>
    <xf numFmtId="0" fontId="0" fillId="0" borderId="35" xfId="0" applyBorder="1"/>
    <xf numFmtId="0" fontId="0" fillId="8" borderId="0" xfId="0" applyFill="1"/>
    <xf numFmtId="0" fontId="5" fillId="0" borderId="36" xfId="0" applyFont="1" applyBorder="1"/>
    <xf numFmtId="0" fontId="3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20">
    <cellStyle name="Bemærk! 2" xfId="15" xr:uid="{A309927D-E800-48AB-92C5-DC2B39E6B347}"/>
    <cellStyle name="Komma" xfId="13" builtinId="3"/>
    <cellStyle name="Komma 2" xfId="1" xr:uid="{00000000-0005-0000-0000-000001000000}"/>
    <cellStyle name="Komma 2 2" xfId="12" xr:uid="{00000000-0005-0000-0000-000002000000}"/>
    <cellStyle name="Komma 2 2 5" xfId="10" xr:uid="{00000000-0005-0000-0000-000003000000}"/>
    <cellStyle name="Komma 3" xfId="16" xr:uid="{7B13A4E4-FB06-4234-8E4C-7A59AB25A35A}"/>
    <cellStyle name="Komma 3 2" xfId="18" xr:uid="{7F71C2CC-A5DB-45CD-A5B3-10325955C5A7}"/>
    <cellStyle name="Komma 5" xfId="11" xr:uid="{00000000-0005-0000-0000-000004000000}"/>
    <cellStyle name="Normal" xfId="0" builtinId="0"/>
    <cellStyle name="Normal 15" xfId="9" xr:uid="{00000000-0005-0000-0000-000007000000}"/>
    <cellStyle name="Normal 2" xfId="4" xr:uid="{00000000-0005-0000-0000-000008000000}"/>
    <cellStyle name="Normal 2 2" xfId="17" xr:uid="{1226D803-29CC-4468-8C19-20139333E892}"/>
    <cellStyle name="Normal 2 2 2" xfId="8" xr:uid="{00000000-0005-0000-0000-000009000000}"/>
    <cellStyle name="Normal 3" xfId="14" xr:uid="{E0B945A8-6C76-4B15-A40F-AD983421152B}"/>
    <cellStyle name="Normal 3 2 2" xfId="19" xr:uid="{4317638A-2E11-473D-920C-E49311B08DC8}"/>
    <cellStyle name="Normal 4" xfId="3" xr:uid="{00000000-0005-0000-0000-00000A000000}"/>
    <cellStyle name="Style 124" xfId="2" xr:uid="{00000000-0005-0000-0000-00000D000000}"/>
    <cellStyle name="Valuta 2" xfId="5" xr:uid="{00000000-0005-0000-0000-00000E000000}"/>
    <cellStyle name="Valuta 2 2" xfId="6" xr:uid="{00000000-0005-0000-0000-00000F000000}"/>
    <cellStyle name="Valuta 2 2 2 2" xfId="7" xr:uid="{00000000-0005-0000-0000-000010000000}"/>
  </cellStyles>
  <dxfs count="19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77E71"/>
        </patternFill>
      </fill>
    </dxf>
    <dxf>
      <numFmt numFmtId="170" formatCode="_-* #,##0_-;\-* #,##0_-;_-* &quot;-&quot;??_-;_-@_-"/>
    </dxf>
    <dxf>
      <numFmt numFmtId="17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_-;\-* #,##0_-;_-* &quot;-&quot;??_-;_-@_-"/>
    </dxf>
    <dxf>
      <numFmt numFmtId="170" formatCode="_-* #,##0_-;\-* #,##0_-;_-* &quot;-&quot;??_-;_-@_-"/>
    </dxf>
    <dxf>
      <numFmt numFmtId="170" formatCode="_-* #,##0_-;\-* #,##0_-;_-* &quot;-&quot;??_-;_-@_-"/>
    </dxf>
    <dxf>
      <numFmt numFmtId="170" formatCode="_-* #,##0_-;\-* #,##0_-;_-* &quot;-&quot;??_-;_-@_-"/>
    </dxf>
    <dxf>
      <numFmt numFmtId="170" formatCode="_-* #,##0_-;\-* #,##0_-;_-* &quot;-&quot;??_-;_-@_-"/>
    </dxf>
    <dxf>
      <numFmt numFmtId="170" formatCode="_-* #,##0_-;\-* #,##0_-;_-* &quot;-&quot;??_-;_-@_-"/>
    </dxf>
    <dxf>
      <numFmt numFmtId="170" formatCode="_-* #,##0_-;\-* #,##0_-;_-* &quot;-&quot;??_-;_-@_-"/>
    </dxf>
    <dxf>
      <numFmt numFmtId="170" formatCode="_-* #,##0_-;\-* #,##0_-;_-* &quot;-&quot;??_-;_-@_-"/>
    </dxf>
    <dxf>
      <numFmt numFmtId="170" formatCode="_-* #,##0_-;\-* #,##0_-;_-* &quot;-&quot;??_-;_-@_-"/>
    </dxf>
    <dxf>
      <numFmt numFmtId="170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eltypografi 1" pivot="0" count="0" xr9:uid="{E12EC5C5-8813-471E-A4EE-1AE66E5F13CB}"/>
  </tableStyles>
  <colors>
    <mruColors>
      <color rgb="FFFFFFFF"/>
      <color rgb="FFF77E71"/>
      <color rgb="FFB0D4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D04FBC-AC2E-4DEB-8713-24803C1E806C}" name="moe_2" displayName="moe_2" ref="A1:AG34" totalsRowShown="0" headerRowDxfId="18">
  <autoFilter ref="A1:AG34" xr:uid="{00000000-0009-0000-0100-000014000000}"/>
  <tableColumns count="33">
    <tableColumn id="1" xr3:uid="{6E77D0E1-6526-47AB-A94D-30D68BF545A3}" name="Position"/>
    <tableColumn id="44" xr3:uid="{10F919E9-517D-4407-8500-C80797A8293F}" name="Position _x000a_Tilbud"/>
    <tableColumn id="2" xr3:uid="{2E4FC95A-CFA0-4562-9F1E-A5493DA72A05}" name="Ydelse"/>
    <tableColumn id="3" xr3:uid="{571A6A59-A8C5-4B3F-84A5-E57FABBC9072}" name="Mængde" dataDxfId="17"/>
    <tableColumn id="4" xr3:uid="{8ECD8579-DD00-4B85-AE4B-392C107726CD}" name="Enhed"/>
    <tableColumn id="5" xr3:uid="{3CE58B1C-B73C-4667-AF92-E4E228269FD7}" name="Mængde (bruttoareal)" dataDxfId="16">
      <calculatedColumnFormula>5500+2850</calculatedColumnFormula>
    </tableColumn>
    <tableColumn id="6" xr3:uid="{F72AFDB4-4518-46E2-B8F1-186DA66DEDA2}" name="(N) Ny_x000a_(O) Ombygning_x000a_(Ne) Nedrives" dataDxfId="15"/>
    <tableColumn id="7" xr3:uid="{B8750E19-6EE8-4082-9D27-E336526F2058}" name="Enhedspris Tilbud 1" dataDxfId="14"/>
    <tableColumn id="8" xr3:uid="{28E2B9AA-938B-493C-AED9-D9B812DDC314}" name="Pris i alt Tilbud 1" dataDxfId="13"/>
    <tableColumn id="9" xr3:uid="{FCAA978A-B0B7-405C-B165-B1DED47C443C}" name="Enhedspris Tilbud 2" dataDxfId="12"/>
    <tableColumn id="10" xr3:uid="{73F46B43-F9C1-49E6-A820-C6B4BDF51E1D}" name="Pris i alt Tilbud 2" dataDxfId="11"/>
    <tableColumn id="11" xr3:uid="{061A2B71-3DAD-4146-984D-90BD21CD0558}" name="Enhedspris Tilbud 3" dataDxfId="10"/>
    <tableColumn id="12" xr3:uid="{09356043-809B-49C1-B997-C409FB349581}" name="Pris i alt Tilbud 3" dataDxfId="9"/>
    <tableColumn id="43" xr3:uid="{57655A5D-F07B-41E1-818E-CB2E0686681B}" name="Enhedspris Tilbud 4" dataDxfId="8"/>
    <tableColumn id="42" xr3:uid="{A48CE863-4018-4963-BE38-B4D1A0EDADD6}" name="Pris i alt Tilbud 4" dataDxfId="7"/>
    <tableColumn id="15" xr3:uid="{E2160113-5343-4373-8720-67221764E976}" name="Enhedspris (gns)" dataDxfId="6">
      <calculatedColumnFormula>(moe_2[[#This Row],[Enhedspris Tilbud 1]]+moe_2[[#This Row],[Enhedspris Tilbud 2]]+moe_2[[#This Row],[Enhedspris Tilbud 3]])/3</calculatedColumnFormula>
    </tableColumn>
    <tableColumn id="17" xr3:uid="{8B92B211-9858-45CE-8EF1-FE57EDF62228}" name="Kostpris (gns)" dataDxfId="5">
      <calculatedColumnFormula>(moe_2[[#This Row],[Pris i alt Tilbud 1]]+moe_2[[#This Row],[Pris i alt Tilbud 2]]+moe_2[[#This Row],[Pris i alt Tilbud 3]])/3</calculatedColumnFormula>
    </tableColumn>
    <tableColumn id="19" xr3:uid="{ECE0417F-8DB0-4E03-ADDA-7484F609871E}" name="Kostpris / m2">
      <calculatedColumnFormula>moe_2[[#This Row],[Kostpris (gns)]]/moe_2[[#This Row],[Mængde (bruttoareal)]]</calculatedColumnFormula>
    </tableColumn>
    <tableColumn id="21" xr3:uid="{D45CD5C3-5D33-41B6-959B-1E8BF0DF1AF2}" name="Indeks"/>
    <tableColumn id="22" xr3:uid="{0CEE7970-7EB3-4B4A-98BC-514E952659C4}" name="Indeks nr."/>
    <tableColumn id="23" xr3:uid="{03C0495D-0B8B-46D1-B71F-2B5ACD16C630}" name="Projekt navn"/>
    <tableColumn id="24" xr3:uid="{F96C05E4-4D1D-49F4-8D77-4AC752EDC7B6}" name="Projekt type"/>
    <tableColumn id="31" xr3:uid="{33CF71EE-9F4C-4CB6-AE46-33210F28F997}" name="Niveau 1"/>
    <tableColumn id="32" xr3:uid="{1F3FFBBE-E4B1-4E42-BD8E-0CB41C653245}" name="Niveau 2"/>
    <tableColumn id="33" xr3:uid="{020F2077-96D0-4989-80CA-6815BD294F49}" name="Niveau 3"/>
    <tableColumn id="34" xr3:uid="{651CA5C9-ED4A-43D9-86A6-2195578AF93A}" name="Niveau 4"/>
    <tableColumn id="35" xr3:uid="{7182E824-449F-457D-B24A-D9061B91B67D}" name="Niveau 5"/>
    <tableColumn id="36" xr3:uid="{39B2896D-37B2-44C3-BCB9-04D2CE3344BD}" name="Hvor mange gange"/>
    <tableColumn id="37" xr3:uid="{DCCE6BEB-95A2-4A67-85E9-F8F31AC7871A}" name="Kommentarer (MOE)"/>
    <tableColumn id="38" xr3:uid="{5B69E6CC-1CB4-4F85-9F96-10436BBBCF76}" name="Tilbud 1"/>
    <tableColumn id="39" xr3:uid="{D1ED8B20-D2D0-4959-B484-DBED601EE08F}" name="Tilbud 2"/>
    <tableColumn id="40" xr3:uid="{F82BF08B-27A8-4BDC-86D0-03A20376175B}" name="Tilbud 3"/>
    <tableColumn id="41" xr3:uid="{9F2C4FEC-1001-4984-8AF6-5E92560AF21D}" name="Tilbud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42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6C4D43-6DC8-4198-A849-6B59879EC0D2}">
  <we:reference id="wa200006518" version="1.1.1.0" store="en-US" storeType="OMEX"/>
  <we:alternateReferences>
    <we:reference id="wa200006518" version="1.1.1.0" store="" storeType="OMEX"/>
  </we:alternateReferences>
  <we:properties>
    <we:property name="pyscriptSettings" value="&quot;{\&quot;defaultMode\&quot;:2,\&quot;pyodideVersion\&quot;:\&quot;0.25.1\&quot;,\&quot;pyodidePackages\&quot;:[\&quot;numpy\&quot;,\&quot;pandas\&quot;,\&quot;matplotlib\&quot;,\&quot;statsmodels\&quot;],\&quot;pyscriptApps\&quot;:[],\&quot;micropipPackages\&quot;:[\&quot;seaborn==0.12.2\&quot;],\&quot;initCode\&quot;:\&quot;# Add imports\\nimport math\\nimport numpy as np\\nimport pandas as pd\\n\\n# Define classes and functions\\ndef to_df(data) -&gt; pd.DataFrame:\\n    \\\&quot;\\\&quot;\\\&quot;\\n    Converts a REF (i.e. list of lists) into a pandas DataFrame\\n    Assumes that the first row contains column headers\\n\\n    Usage: df = to_df(REF(\\\&quot;F15:H22\\\&quot;))\\n    \\\&quot;\\\&quot;\\\&quot;\\n    if isinstance(data, pd.DataFrame):\\n        return data\\n    if hasattr(data, '__len__') and len(data) &gt; 0 and hasattr(data[0], '__len__'):\\n        return pd.DataFrame(data[1:], columns=data[0])\\n    raise TypeError('Expected list of lists')\\n\\ndef to_array(data) -&gt; np.ndarray:\\n    \\\&quot;\\\&quot;\\\&quot;\\n    Converts a REF (i.e. list of lists) into a 2-dimensional numpy array\\n\\n    Usage: arr = to_array(REF(\\\&quot;B3:C44\\\&quot;))\\n    \\\&quot;\\\&quot;\\\&quot;\\n    if isinstance(data, np.ndarray):\\n        return data\\n    return np.array(data)\\n\\ndef to_list(data) -&gt; list:\\n    \\\&quot;\\\&quot;\\\&quot;\\n    Converts a REF (i.e. list of lists) into a 1-d list.\\n    Handles wide (1xn) or tall (nx1) data.\\n\\n    Usage: x = to_list(REF(\\\&quot;G1:G55\\\&quot;))\\n    \\\&quot;\\\&quot;\\\&quot;\\n    if not hasattr(data, '__len__'): # data is scalar\\n        return [data]\\n    if len(data) == 0 or not hasattr(data[0], '__len__'): # data is already a list\\n        return list(data)\\n    if len(data) == 1: # data is wide\\n        return list(data[0])\\n    elif len(data[0]) == 1: #data is tall\\n        return [x[0] for x in data]\\n    else:\\n        raise TypeError(f\\\&quot;data must be 1xn or nx1, not {len(data)}x{len(data[0])}\\\&quot;)\\n\\n\&quot;}&quot;"/>
    <we:property name="projectDefinitions" value="&quot;{\&quot;projects\&quot;:{\&quot;b3a32f86-849c-4c8d-a244-84812b68c013\&quot;:{\&quot;id\&quot;:\&quot;b3a32f86-849c-4c8d-a244-84812b68c013\&quot;,\&quot;title\&quot;:\&quot;lvl2\&quot;,\&quot;name\&quot;:\&quot;lvl2\&quot;,\&quot;files\&quot;:{\&quot;lvl2.csv\&quot;:{\&quot;fileName\&quot;:\&quot;lvl2.csv\&quot;,\&quot;sourceSelection\&quot;:{\&quot;rangeType\&quot;:\&quot;RangeBinding\&quot;,\&quot;identifier\&quot;:\&quot;UnnamedBinding_0_1729690089053\&quot;,\&quot;displayName\&quot;:\&quot;Niveau_2!G4:Q405\&quot;},\&quot;direction\&quot;:\&quot;upload\&quot;,\&quot;lastUploaded\&quot;:\&quot;2024-10-23T13:28:31.316931\&quot;}}}},\&quot;version\&quot;:2}&quot;"/>
  </we:properties>
  <we:bindings>
    <we:binding id="UnnamedBinding_0_1729690089053" type="matrix" appref="{C6022C4E-5953-4670-A88D-F9F46F9E8724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</we:customFunctionIdList>
    </a:ext>
    <a:ext xmlns:a="http://schemas.openxmlformats.org/drawingml/2006/main" uri="{0858819E-0033-43BF-8937-05EC82904868}">
      <we:backgroundApp state="0" runtimeId="PyScript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63EF-2FAC-4807-8DE5-EF6D952B992C}">
  <dimension ref="A1:W408"/>
  <sheetViews>
    <sheetView topLeftCell="D1" workbookViewId="0">
      <selection activeCell="F13" sqref="F13"/>
    </sheetView>
  </sheetViews>
  <sheetFormatPr defaultColWidth="9.140625" defaultRowHeight="12.75" outlineLevelRow="4" x14ac:dyDescent="0.2"/>
  <cols>
    <col min="1" max="1" width="9.140625" style="4"/>
    <col min="2" max="2" width="12.140625" style="50" customWidth="1"/>
    <col min="3" max="3" width="15.140625" style="2" bestFit="1" customWidth="1"/>
    <col min="4" max="4" width="72.140625" style="66" customWidth="1"/>
    <col min="5" max="5" width="71.140625" style="3" customWidth="1"/>
    <col min="6" max="6" width="49.28515625" style="54" customWidth="1"/>
    <col min="7" max="7" width="9.140625" style="4"/>
    <col min="8" max="8" width="33.7109375" style="4" customWidth="1"/>
    <col min="9" max="16384" width="9.140625" style="4"/>
  </cols>
  <sheetData>
    <row r="1" spans="2:23" ht="26.25" customHeight="1" x14ac:dyDescent="0.2">
      <c r="B1" s="1" t="s">
        <v>0</v>
      </c>
    </row>
    <row r="3" spans="2:23" s="6" customFormat="1" ht="45" customHeight="1" x14ac:dyDescent="0.25">
      <c r="B3" s="5" t="s">
        <v>1</v>
      </c>
      <c r="C3" s="5" t="s">
        <v>2</v>
      </c>
      <c r="D3" s="95" t="s">
        <v>3</v>
      </c>
      <c r="E3" s="5" t="s">
        <v>4</v>
      </c>
      <c r="F3" s="95" t="s">
        <v>1327</v>
      </c>
    </row>
    <row r="4" spans="2:23" ht="30" customHeight="1" x14ac:dyDescent="0.2">
      <c r="B4" s="7">
        <v>1</v>
      </c>
      <c r="C4" s="8" t="s">
        <v>5</v>
      </c>
      <c r="D4" s="96" t="s">
        <v>851</v>
      </c>
      <c r="E4" s="8" t="s">
        <v>6</v>
      </c>
      <c r="F4" s="96" t="s">
        <v>851</v>
      </c>
      <c r="H4" s="180" t="s">
        <v>851</v>
      </c>
    </row>
    <row r="5" spans="2:23" ht="30" customHeight="1" outlineLevel="1" x14ac:dyDescent="0.2">
      <c r="B5" s="9">
        <f>B4+1</f>
        <v>2</v>
      </c>
      <c r="C5" s="10" t="s">
        <v>7</v>
      </c>
      <c r="D5" s="67" t="s">
        <v>852</v>
      </c>
      <c r="E5" s="10" t="s">
        <v>8</v>
      </c>
      <c r="F5" s="67" t="s">
        <v>851</v>
      </c>
      <c r="H5" s="180" t="s">
        <v>870</v>
      </c>
    </row>
    <row r="6" spans="2:23" ht="30" customHeight="1" outlineLevel="2" x14ac:dyDescent="0.2">
      <c r="B6" s="11">
        <f t="shared" ref="B6:B69" si="0">B5+1</f>
        <v>3</v>
      </c>
      <c r="C6" s="12" t="s">
        <v>9</v>
      </c>
      <c r="D6" s="97" t="s">
        <v>853</v>
      </c>
      <c r="E6" s="12" t="s">
        <v>10</v>
      </c>
      <c r="F6" s="97" t="s">
        <v>851</v>
      </c>
      <c r="H6" s="180" t="s">
        <v>885</v>
      </c>
    </row>
    <row r="7" spans="2:23" ht="30" customHeight="1" outlineLevel="3" x14ac:dyDescent="0.2">
      <c r="B7" s="13">
        <f t="shared" si="0"/>
        <v>4</v>
      </c>
      <c r="C7" s="14" t="s">
        <v>11</v>
      </c>
      <c r="D7" s="15" t="s">
        <v>854</v>
      </c>
      <c r="E7" s="15" t="s">
        <v>12</v>
      </c>
      <c r="F7" s="15" t="s">
        <v>851</v>
      </c>
      <c r="H7" s="180" t="s">
        <v>948</v>
      </c>
    </row>
    <row r="8" spans="2:23" ht="30" customHeight="1" outlineLevel="3" x14ac:dyDescent="0.2">
      <c r="B8" s="13">
        <f t="shared" si="0"/>
        <v>5</v>
      </c>
      <c r="C8" s="14" t="s">
        <v>13</v>
      </c>
      <c r="D8" s="15" t="s">
        <v>855</v>
      </c>
      <c r="E8" s="15" t="s">
        <v>14</v>
      </c>
      <c r="F8" s="15" t="s">
        <v>851</v>
      </c>
      <c r="H8" s="180" t="s">
        <v>930</v>
      </c>
    </row>
    <row r="9" spans="2:23" ht="30" customHeight="1" outlineLevel="3" x14ac:dyDescent="0.2">
      <c r="B9" s="13">
        <f t="shared" si="0"/>
        <v>6</v>
      </c>
      <c r="C9" s="14" t="s">
        <v>15</v>
      </c>
      <c r="D9" s="15" t="s">
        <v>856</v>
      </c>
      <c r="E9" s="15" t="s">
        <v>16</v>
      </c>
      <c r="F9" s="15" t="s">
        <v>851</v>
      </c>
      <c r="H9" s="180" t="s">
        <v>1073</v>
      </c>
    </row>
    <row r="10" spans="2:23" ht="30" customHeight="1" outlineLevel="3" x14ac:dyDescent="0.2">
      <c r="B10" s="13">
        <f t="shared" si="0"/>
        <v>7</v>
      </c>
      <c r="C10" s="14" t="s">
        <v>17</v>
      </c>
      <c r="D10" s="15" t="s">
        <v>857</v>
      </c>
      <c r="E10" s="15" t="s">
        <v>18</v>
      </c>
      <c r="F10" s="15" t="s">
        <v>851</v>
      </c>
      <c r="H10" s="180" t="s">
        <v>839</v>
      </c>
    </row>
    <row r="11" spans="2:23" ht="30" customHeight="1" outlineLevel="3" x14ac:dyDescent="0.2">
      <c r="B11" s="13">
        <f t="shared" si="0"/>
        <v>8</v>
      </c>
      <c r="C11" s="14" t="s">
        <v>19</v>
      </c>
      <c r="D11" s="15" t="s">
        <v>1223</v>
      </c>
      <c r="E11" s="15" t="s">
        <v>20</v>
      </c>
      <c r="F11" s="15" t="s">
        <v>851</v>
      </c>
      <c r="H11" s="180" t="s">
        <v>835</v>
      </c>
    </row>
    <row r="12" spans="2:23" ht="30" customHeight="1" outlineLevel="3" x14ac:dyDescent="0.2">
      <c r="B12" s="13">
        <f t="shared" si="0"/>
        <v>9</v>
      </c>
      <c r="C12" s="14" t="s">
        <v>21</v>
      </c>
      <c r="D12" s="15" t="s">
        <v>1216</v>
      </c>
      <c r="E12" s="15" t="s">
        <v>22</v>
      </c>
      <c r="F12" s="15" t="s">
        <v>851</v>
      </c>
      <c r="H12" s="181"/>
    </row>
    <row r="13" spans="2:23" ht="30" customHeight="1" outlineLevel="2" x14ac:dyDescent="0.2">
      <c r="B13" s="11">
        <f t="shared" si="0"/>
        <v>10</v>
      </c>
      <c r="C13" s="12" t="s">
        <v>23</v>
      </c>
      <c r="D13" s="97" t="s">
        <v>1204</v>
      </c>
      <c r="E13" s="12" t="s">
        <v>24</v>
      </c>
      <c r="F13" s="97" t="s">
        <v>851</v>
      </c>
      <c r="R13" s="4">
        <v>25000</v>
      </c>
      <c r="S13" s="4">
        <v>7.5</v>
      </c>
      <c r="T13" s="4">
        <v>15</v>
      </c>
      <c r="U13" s="4">
        <v>30</v>
      </c>
      <c r="V13" s="4">
        <f>(S13+T13*3+U13)/5</f>
        <v>16.5</v>
      </c>
      <c r="W13" s="4">
        <f>V13*R13</f>
        <v>412500</v>
      </c>
    </row>
    <row r="14" spans="2:23" ht="30" customHeight="1" outlineLevel="2" x14ac:dyDescent="0.2">
      <c r="B14" s="16">
        <f t="shared" si="0"/>
        <v>11</v>
      </c>
      <c r="C14" s="17" t="s">
        <v>25</v>
      </c>
      <c r="D14" s="31" t="s">
        <v>858</v>
      </c>
      <c r="E14" s="17" t="s">
        <v>26</v>
      </c>
      <c r="F14" s="31" t="s">
        <v>851</v>
      </c>
    </row>
    <row r="15" spans="2:23" ht="30" customHeight="1" outlineLevel="3" x14ac:dyDescent="0.2">
      <c r="B15" s="18">
        <f t="shared" si="0"/>
        <v>12</v>
      </c>
      <c r="C15" s="19" t="s">
        <v>27</v>
      </c>
      <c r="D15" s="98" t="s">
        <v>859</v>
      </c>
      <c r="E15" s="15" t="s">
        <v>28</v>
      </c>
      <c r="F15" s="15" t="s">
        <v>851</v>
      </c>
    </row>
    <row r="16" spans="2:23" ht="30" customHeight="1" outlineLevel="3" x14ac:dyDescent="0.2">
      <c r="B16" s="18">
        <f t="shared" si="0"/>
        <v>13</v>
      </c>
      <c r="C16" s="19" t="s">
        <v>29</v>
      </c>
      <c r="D16" s="98" t="s">
        <v>860</v>
      </c>
      <c r="E16" s="15" t="s">
        <v>30</v>
      </c>
      <c r="F16" s="15" t="s">
        <v>851</v>
      </c>
    </row>
    <row r="17" spans="2:6" ht="30" customHeight="1" outlineLevel="3" x14ac:dyDescent="0.2">
      <c r="B17" s="18">
        <f t="shared" si="0"/>
        <v>14</v>
      </c>
      <c r="C17" s="19" t="s">
        <v>31</v>
      </c>
      <c r="D17" s="98" t="s">
        <v>865</v>
      </c>
      <c r="E17" s="15" t="s">
        <v>32</v>
      </c>
      <c r="F17" s="15" t="s">
        <v>851</v>
      </c>
    </row>
    <row r="18" spans="2:6" ht="30" customHeight="1" outlineLevel="3" x14ac:dyDescent="0.2">
      <c r="B18" s="18">
        <f t="shared" si="0"/>
        <v>15</v>
      </c>
      <c r="C18" s="19" t="s">
        <v>33</v>
      </c>
      <c r="D18" s="98" t="s">
        <v>866</v>
      </c>
      <c r="E18" s="15" t="s">
        <v>34</v>
      </c>
      <c r="F18" s="15" t="s">
        <v>851</v>
      </c>
    </row>
    <row r="19" spans="2:6" ht="30" customHeight="1" outlineLevel="1" x14ac:dyDescent="0.2">
      <c r="B19" s="9">
        <f t="shared" si="0"/>
        <v>16</v>
      </c>
      <c r="C19" s="10" t="s">
        <v>35</v>
      </c>
      <c r="D19" s="67" t="s">
        <v>867</v>
      </c>
      <c r="E19" s="10" t="s">
        <v>36</v>
      </c>
      <c r="F19" s="67" t="s">
        <v>851</v>
      </c>
    </row>
    <row r="20" spans="2:6" ht="30" customHeight="1" outlineLevel="2" x14ac:dyDescent="0.2">
      <c r="B20" s="20">
        <f t="shared" si="0"/>
        <v>17</v>
      </c>
      <c r="C20" s="21" t="s">
        <v>37</v>
      </c>
      <c r="D20" s="99" t="s">
        <v>1298</v>
      </c>
      <c r="E20" s="21" t="s">
        <v>38</v>
      </c>
      <c r="F20" s="99" t="s">
        <v>851</v>
      </c>
    </row>
    <row r="21" spans="2:6" ht="30" customHeight="1" outlineLevel="2" x14ac:dyDescent="0.2">
      <c r="B21" s="11">
        <f t="shared" si="0"/>
        <v>18</v>
      </c>
      <c r="C21" s="12" t="s">
        <v>39</v>
      </c>
      <c r="D21" s="97" t="s">
        <v>868</v>
      </c>
      <c r="E21" s="12" t="s">
        <v>40</v>
      </c>
      <c r="F21" s="97" t="s">
        <v>851</v>
      </c>
    </row>
    <row r="22" spans="2:6" ht="30" customHeight="1" outlineLevel="3" collapsed="1" x14ac:dyDescent="0.2">
      <c r="B22" s="13">
        <f t="shared" si="0"/>
        <v>19</v>
      </c>
      <c r="C22" s="14" t="s">
        <v>41</v>
      </c>
      <c r="D22" s="15" t="s">
        <v>869</v>
      </c>
      <c r="E22" s="15" t="s">
        <v>42</v>
      </c>
      <c r="F22" s="15" t="s">
        <v>851</v>
      </c>
    </row>
    <row r="23" spans="2:6" ht="30" customHeight="1" outlineLevel="3" x14ac:dyDescent="0.2">
      <c r="B23" s="13">
        <f t="shared" si="0"/>
        <v>20</v>
      </c>
      <c r="C23" s="14" t="s">
        <v>43</v>
      </c>
      <c r="D23" s="15" t="s">
        <v>878</v>
      </c>
      <c r="E23" s="15" t="s">
        <v>44</v>
      </c>
      <c r="F23" s="15" t="s">
        <v>851</v>
      </c>
    </row>
    <row r="24" spans="2:6" ht="30" customHeight="1" outlineLevel="3" x14ac:dyDescent="0.2">
      <c r="B24" s="13">
        <f t="shared" si="0"/>
        <v>21</v>
      </c>
      <c r="C24" s="14" t="s">
        <v>45</v>
      </c>
      <c r="D24" s="15" t="s">
        <v>891</v>
      </c>
      <c r="E24" s="14" t="s">
        <v>46</v>
      </c>
      <c r="F24" s="15" t="s">
        <v>851</v>
      </c>
    </row>
    <row r="25" spans="2:6" ht="30" customHeight="1" outlineLevel="3" x14ac:dyDescent="0.2">
      <c r="B25" s="13">
        <f t="shared" si="0"/>
        <v>22</v>
      </c>
      <c r="C25" s="14" t="s">
        <v>47</v>
      </c>
      <c r="D25" s="15" t="s">
        <v>892</v>
      </c>
      <c r="E25" s="14" t="s">
        <v>48</v>
      </c>
      <c r="F25" s="15" t="s">
        <v>851</v>
      </c>
    </row>
    <row r="26" spans="2:6" ht="30" customHeight="1" outlineLevel="3" x14ac:dyDescent="0.2">
      <c r="B26" s="13">
        <f t="shared" si="0"/>
        <v>23</v>
      </c>
      <c r="C26" s="14" t="s">
        <v>49</v>
      </c>
      <c r="D26" s="15" t="s">
        <v>879</v>
      </c>
      <c r="E26" s="14" t="s">
        <v>50</v>
      </c>
      <c r="F26" s="15" t="s">
        <v>851</v>
      </c>
    </row>
    <row r="27" spans="2:6" ht="30" customHeight="1" outlineLevel="3" x14ac:dyDescent="0.2">
      <c r="B27" s="13">
        <f t="shared" si="0"/>
        <v>24</v>
      </c>
      <c r="C27" s="14" t="s">
        <v>51</v>
      </c>
      <c r="D27" s="15" t="s">
        <v>893</v>
      </c>
      <c r="E27" s="14" t="s">
        <v>52</v>
      </c>
      <c r="F27" s="15" t="s">
        <v>851</v>
      </c>
    </row>
    <row r="28" spans="2:6" ht="30" customHeight="1" outlineLevel="3" x14ac:dyDescent="0.2">
      <c r="B28" s="13">
        <f t="shared" si="0"/>
        <v>25</v>
      </c>
      <c r="C28" s="14" t="s">
        <v>53</v>
      </c>
      <c r="D28" s="15" t="s">
        <v>1156</v>
      </c>
      <c r="E28" s="14" t="s">
        <v>54</v>
      </c>
      <c r="F28" s="15" t="s">
        <v>851</v>
      </c>
    </row>
    <row r="29" spans="2:6" ht="30" customHeight="1" outlineLevel="3" x14ac:dyDescent="0.2">
      <c r="B29" s="13">
        <f t="shared" si="0"/>
        <v>26</v>
      </c>
      <c r="C29" s="14" t="s">
        <v>55</v>
      </c>
      <c r="D29" s="15" t="s">
        <v>1160</v>
      </c>
      <c r="E29" s="14" t="s">
        <v>56</v>
      </c>
      <c r="F29" s="15" t="s">
        <v>851</v>
      </c>
    </row>
    <row r="30" spans="2:6" ht="30" customHeight="1" outlineLevel="3" x14ac:dyDescent="0.2">
      <c r="B30" s="13">
        <f t="shared" si="0"/>
        <v>27</v>
      </c>
      <c r="C30" s="14" t="s">
        <v>57</v>
      </c>
      <c r="D30" s="15" t="s">
        <v>1205</v>
      </c>
      <c r="E30" s="14" t="s">
        <v>58</v>
      </c>
      <c r="F30" s="15" t="s">
        <v>851</v>
      </c>
    </row>
    <row r="31" spans="2:6" ht="30" customHeight="1" outlineLevel="3" x14ac:dyDescent="0.2">
      <c r="B31" s="13">
        <f t="shared" si="0"/>
        <v>28</v>
      </c>
      <c r="C31" s="14" t="s">
        <v>59</v>
      </c>
      <c r="D31" s="15" t="s">
        <v>1228</v>
      </c>
      <c r="E31" s="14" t="s">
        <v>60</v>
      </c>
      <c r="F31" s="15" t="s">
        <v>851</v>
      </c>
    </row>
    <row r="32" spans="2:6" ht="30" customHeight="1" outlineLevel="3" x14ac:dyDescent="0.2">
      <c r="B32" s="13">
        <f t="shared" si="0"/>
        <v>29</v>
      </c>
      <c r="C32" s="14" t="s">
        <v>61</v>
      </c>
      <c r="D32" s="15" t="s">
        <v>1229</v>
      </c>
      <c r="E32" s="14" t="s">
        <v>62</v>
      </c>
      <c r="F32" s="15" t="s">
        <v>851</v>
      </c>
    </row>
    <row r="33" spans="2:9" ht="30" customHeight="1" x14ac:dyDescent="0.2">
      <c r="B33" s="7">
        <f t="shared" si="0"/>
        <v>30</v>
      </c>
      <c r="C33" s="8" t="s">
        <v>63</v>
      </c>
      <c r="D33" s="96" t="s">
        <v>870</v>
      </c>
      <c r="E33" s="22" t="s">
        <v>64</v>
      </c>
      <c r="F33" s="102" t="s">
        <v>870</v>
      </c>
    </row>
    <row r="34" spans="2:9" ht="30" customHeight="1" outlineLevel="1" x14ac:dyDescent="0.2">
      <c r="B34" s="9">
        <f t="shared" si="0"/>
        <v>31</v>
      </c>
      <c r="C34" s="10" t="s">
        <v>65</v>
      </c>
      <c r="D34" s="67" t="s">
        <v>874</v>
      </c>
      <c r="E34" s="10" t="s">
        <v>66</v>
      </c>
      <c r="F34" s="67" t="s">
        <v>870</v>
      </c>
      <c r="I34" s="32"/>
    </row>
    <row r="35" spans="2:9" ht="30" customHeight="1" outlineLevel="2" x14ac:dyDescent="0.2">
      <c r="B35" s="11">
        <f t="shared" si="0"/>
        <v>32</v>
      </c>
      <c r="C35" s="12" t="s">
        <v>67</v>
      </c>
      <c r="D35" s="97" t="s">
        <v>875</v>
      </c>
      <c r="E35" s="23" t="s">
        <v>68</v>
      </c>
      <c r="F35" s="103" t="s">
        <v>870</v>
      </c>
    </row>
    <row r="36" spans="2:9" ht="30" customHeight="1" outlineLevel="3" x14ac:dyDescent="0.2">
      <c r="B36" s="13">
        <f t="shared" si="0"/>
        <v>33</v>
      </c>
      <c r="C36" s="14" t="s">
        <v>69</v>
      </c>
      <c r="D36" s="15" t="s">
        <v>876</v>
      </c>
      <c r="E36" s="15" t="s">
        <v>70</v>
      </c>
      <c r="F36" s="15" t="s">
        <v>870</v>
      </c>
    </row>
    <row r="37" spans="2:9" ht="30" customHeight="1" outlineLevel="3" x14ac:dyDescent="0.2">
      <c r="B37" s="13">
        <f t="shared" si="0"/>
        <v>34</v>
      </c>
      <c r="C37" s="14" t="s">
        <v>71</v>
      </c>
      <c r="D37" s="15" t="s">
        <v>877</v>
      </c>
      <c r="E37" s="15" t="s">
        <v>72</v>
      </c>
      <c r="F37" s="15" t="s">
        <v>870</v>
      </c>
    </row>
    <row r="38" spans="2:9" ht="30" customHeight="1" outlineLevel="3" x14ac:dyDescent="0.2">
      <c r="B38" s="13">
        <f t="shared" si="0"/>
        <v>35</v>
      </c>
      <c r="C38" s="14" t="s">
        <v>73</v>
      </c>
      <c r="D38" s="15" t="s">
        <v>884</v>
      </c>
      <c r="E38" s="14" t="s">
        <v>74</v>
      </c>
      <c r="F38" s="15" t="s">
        <v>870</v>
      </c>
    </row>
    <row r="39" spans="2:9" ht="30" customHeight="1" outlineLevel="3" x14ac:dyDescent="0.2">
      <c r="B39" s="13">
        <f t="shared" si="0"/>
        <v>36</v>
      </c>
      <c r="C39" s="14" t="s">
        <v>75</v>
      </c>
      <c r="D39" s="15" t="s">
        <v>889</v>
      </c>
      <c r="E39" s="14" t="s">
        <v>76</v>
      </c>
      <c r="F39" s="15" t="s">
        <v>870</v>
      </c>
    </row>
    <row r="40" spans="2:9" ht="30" customHeight="1" outlineLevel="3" x14ac:dyDescent="0.2">
      <c r="B40" s="13">
        <f t="shared" si="0"/>
        <v>37</v>
      </c>
      <c r="C40" s="14" t="s">
        <v>77</v>
      </c>
      <c r="D40" s="15" t="s">
        <v>896</v>
      </c>
      <c r="E40" s="14" t="s">
        <v>78</v>
      </c>
      <c r="F40" s="15" t="s">
        <v>870</v>
      </c>
    </row>
    <row r="41" spans="2:9" ht="30" customHeight="1" outlineLevel="3" x14ac:dyDescent="0.2">
      <c r="B41" s="13">
        <f t="shared" si="0"/>
        <v>38</v>
      </c>
      <c r="C41" s="14" t="s">
        <v>79</v>
      </c>
      <c r="D41" s="15" t="s">
        <v>898</v>
      </c>
      <c r="E41" s="14" t="s">
        <v>80</v>
      </c>
      <c r="F41" s="15" t="s">
        <v>870</v>
      </c>
      <c r="G41" s="32"/>
    </row>
    <row r="42" spans="2:9" ht="30" customHeight="1" outlineLevel="3" x14ac:dyDescent="0.2">
      <c r="B42" s="13">
        <f t="shared" si="0"/>
        <v>39</v>
      </c>
      <c r="C42" s="14" t="s">
        <v>81</v>
      </c>
      <c r="D42" s="15" t="s">
        <v>900</v>
      </c>
      <c r="E42" s="14" t="s">
        <v>82</v>
      </c>
      <c r="F42" s="15" t="s">
        <v>870</v>
      </c>
    </row>
    <row r="43" spans="2:9" ht="30" customHeight="1" outlineLevel="3" x14ac:dyDescent="0.2">
      <c r="B43" s="13">
        <f t="shared" si="0"/>
        <v>40</v>
      </c>
      <c r="C43" s="14" t="s">
        <v>83</v>
      </c>
      <c r="D43" s="15" t="s">
        <v>901</v>
      </c>
      <c r="E43" s="14" t="s">
        <v>84</v>
      </c>
      <c r="F43" s="15" t="s">
        <v>870</v>
      </c>
    </row>
    <row r="44" spans="2:9" ht="30" customHeight="1" outlineLevel="3" x14ac:dyDescent="0.2">
      <c r="B44" s="13">
        <f t="shared" si="0"/>
        <v>41</v>
      </c>
      <c r="C44" s="14" t="s">
        <v>85</v>
      </c>
      <c r="D44" s="15" t="s">
        <v>1154</v>
      </c>
      <c r="E44" s="14" t="s">
        <v>86</v>
      </c>
      <c r="F44" s="15" t="s">
        <v>870</v>
      </c>
    </row>
    <row r="45" spans="2:9" ht="30" customHeight="1" outlineLevel="3" x14ac:dyDescent="0.2">
      <c r="B45" s="13">
        <f t="shared" si="0"/>
        <v>42</v>
      </c>
      <c r="C45" s="14" t="s">
        <v>87</v>
      </c>
      <c r="D45" s="15" t="s">
        <v>1158</v>
      </c>
      <c r="E45" s="14" t="s">
        <v>88</v>
      </c>
      <c r="F45" s="15" t="s">
        <v>870</v>
      </c>
    </row>
    <row r="46" spans="2:9" ht="30" customHeight="1" outlineLevel="3" x14ac:dyDescent="0.2">
      <c r="B46" s="13">
        <f t="shared" si="0"/>
        <v>43</v>
      </c>
      <c r="C46" s="14" t="s">
        <v>89</v>
      </c>
      <c r="D46" s="15" t="s">
        <v>1202</v>
      </c>
      <c r="E46" s="14" t="s">
        <v>90</v>
      </c>
      <c r="F46" s="15" t="s">
        <v>870</v>
      </c>
    </row>
    <row r="47" spans="2:9" ht="30" customHeight="1" outlineLevel="3" x14ac:dyDescent="0.2">
      <c r="B47" s="13">
        <f t="shared" si="0"/>
        <v>44</v>
      </c>
      <c r="C47" s="14" t="s">
        <v>91</v>
      </c>
      <c r="D47" s="15" t="s">
        <v>1191</v>
      </c>
      <c r="E47" s="14" t="s">
        <v>92</v>
      </c>
      <c r="F47" s="15" t="s">
        <v>870</v>
      </c>
    </row>
    <row r="48" spans="2:9" ht="30" customHeight="1" outlineLevel="3" x14ac:dyDescent="0.2">
      <c r="B48" s="13">
        <f t="shared" si="0"/>
        <v>45</v>
      </c>
      <c r="C48" s="14" t="s">
        <v>93</v>
      </c>
      <c r="D48" s="15" t="s">
        <v>1082</v>
      </c>
      <c r="E48" s="14" t="s">
        <v>94</v>
      </c>
      <c r="F48" s="15" t="s">
        <v>870</v>
      </c>
    </row>
    <row r="49" spans="1:8" ht="30" customHeight="1" outlineLevel="3" x14ac:dyDescent="0.2">
      <c r="B49" s="13">
        <f t="shared" si="0"/>
        <v>46</v>
      </c>
      <c r="C49" s="14" t="s">
        <v>95</v>
      </c>
      <c r="D49" s="15" t="s">
        <v>1225</v>
      </c>
      <c r="E49" s="14" t="s">
        <v>96</v>
      </c>
      <c r="F49" s="15" t="s">
        <v>870</v>
      </c>
    </row>
    <row r="50" spans="1:8" ht="30" customHeight="1" outlineLevel="2" x14ac:dyDescent="0.2">
      <c r="B50" s="11">
        <f t="shared" si="0"/>
        <v>47</v>
      </c>
      <c r="C50" s="12" t="s">
        <v>97</v>
      </c>
      <c r="D50" s="97" t="s">
        <v>1155</v>
      </c>
      <c r="E50" s="23" t="s">
        <v>98</v>
      </c>
      <c r="F50" s="103" t="s">
        <v>1323</v>
      </c>
    </row>
    <row r="51" spans="1:8" ht="30" customHeight="1" outlineLevel="3" x14ac:dyDescent="0.2">
      <c r="B51" s="13">
        <f t="shared" si="0"/>
        <v>48</v>
      </c>
      <c r="C51" s="14" t="s">
        <v>99</v>
      </c>
      <c r="D51" s="15" t="s">
        <v>1157</v>
      </c>
      <c r="E51" s="14" t="s">
        <v>100</v>
      </c>
      <c r="F51" s="15" t="s">
        <v>1323</v>
      </c>
    </row>
    <row r="52" spans="1:8" ht="30" customHeight="1" outlineLevel="3" x14ac:dyDescent="0.2">
      <c r="B52" s="13">
        <f t="shared" si="0"/>
        <v>49</v>
      </c>
      <c r="C52" s="14" t="s">
        <v>101</v>
      </c>
      <c r="D52" s="15" t="s">
        <v>1206</v>
      </c>
      <c r="E52" s="14" t="s">
        <v>102</v>
      </c>
      <c r="F52" s="15" t="s">
        <v>1323</v>
      </c>
    </row>
    <row r="53" spans="1:8" ht="30" customHeight="1" outlineLevel="1" x14ac:dyDescent="0.2">
      <c r="B53" s="9">
        <f t="shared" si="0"/>
        <v>50</v>
      </c>
      <c r="C53" s="10" t="s">
        <v>103</v>
      </c>
      <c r="D53" s="67" t="s">
        <v>881</v>
      </c>
      <c r="E53" s="10" t="s">
        <v>104</v>
      </c>
      <c r="F53" s="67" t="s">
        <v>1323</v>
      </c>
    </row>
    <row r="54" spans="1:8" ht="30" customHeight="1" outlineLevel="2" x14ac:dyDescent="0.2">
      <c r="B54" s="11">
        <f t="shared" si="0"/>
        <v>51</v>
      </c>
      <c r="C54" s="12" t="s">
        <v>105</v>
      </c>
      <c r="D54" s="97" t="s">
        <v>882</v>
      </c>
      <c r="E54" s="23" t="s">
        <v>106</v>
      </c>
      <c r="F54" s="103" t="s">
        <v>1323</v>
      </c>
    </row>
    <row r="55" spans="1:8" s="85" customFormat="1" ht="30" customHeight="1" outlineLevel="3" x14ac:dyDescent="0.2">
      <c r="A55" s="89" t="s">
        <v>65</v>
      </c>
      <c r="B55" s="86">
        <f t="shared" si="0"/>
        <v>52</v>
      </c>
      <c r="C55" s="87" t="s">
        <v>107</v>
      </c>
      <c r="D55" s="88" t="s">
        <v>883</v>
      </c>
      <c r="E55" s="87" t="s">
        <v>108</v>
      </c>
      <c r="F55" s="88" t="s">
        <v>870</v>
      </c>
      <c r="H55" s="4"/>
    </row>
    <row r="56" spans="1:8" s="85" customFormat="1" ht="30" customHeight="1" outlineLevel="3" x14ac:dyDescent="0.2">
      <c r="A56" s="89" t="s">
        <v>65</v>
      </c>
      <c r="B56" s="86">
        <f t="shared" si="0"/>
        <v>53</v>
      </c>
      <c r="C56" s="87" t="s">
        <v>109</v>
      </c>
      <c r="D56" s="88" t="s">
        <v>895</v>
      </c>
      <c r="E56" s="87" t="s">
        <v>110</v>
      </c>
      <c r="F56" s="88" t="s">
        <v>870</v>
      </c>
      <c r="H56" s="4"/>
    </row>
    <row r="57" spans="1:8" ht="30" customHeight="1" outlineLevel="3" x14ac:dyDescent="0.2">
      <c r="B57" s="13">
        <f t="shared" si="0"/>
        <v>54</v>
      </c>
      <c r="C57" s="14" t="s">
        <v>111</v>
      </c>
      <c r="D57" s="15" t="s">
        <v>902</v>
      </c>
      <c r="E57" s="14" t="s">
        <v>112</v>
      </c>
      <c r="F57" s="15" t="s">
        <v>1323</v>
      </c>
    </row>
    <row r="58" spans="1:8" ht="30" customHeight="1" outlineLevel="3" x14ac:dyDescent="0.2">
      <c r="B58" s="13">
        <f t="shared" si="0"/>
        <v>55</v>
      </c>
      <c r="C58" s="14" t="s">
        <v>113</v>
      </c>
      <c r="D58" s="15" t="s">
        <v>904</v>
      </c>
      <c r="E58" s="14" t="s">
        <v>114</v>
      </c>
      <c r="F58" s="15" t="s">
        <v>870</v>
      </c>
    </row>
    <row r="59" spans="1:8" s="85" customFormat="1" ht="30" customHeight="1" outlineLevel="3" x14ac:dyDescent="0.2">
      <c r="A59" s="89" t="s">
        <v>65</v>
      </c>
      <c r="B59" s="86">
        <f t="shared" si="0"/>
        <v>56</v>
      </c>
      <c r="C59" s="87" t="s">
        <v>115</v>
      </c>
      <c r="D59" s="88" t="s">
        <v>1151</v>
      </c>
      <c r="E59" s="88" t="s">
        <v>116</v>
      </c>
      <c r="F59" s="88" t="s">
        <v>870</v>
      </c>
      <c r="H59" s="4"/>
    </row>
    <row r="60" spans="1:8" s="85" customFormat="1" ht="30" customHeight="1" outlineLevel="3" x14ac:dyDescent="0.2">
      <c r="A60" s="89" t="s">
        <v>65</v>
      </c>
      <c r="B60" s="86">
        <f t="shared" si="0"/>
        <v>57</v>
      </c>
      <c r="C60" s="87" t="s">
        <v>117</v>
      </c>
      <c r="D60" s="88" t="s">
        <v>1152</v>
      </c>
      <c r="E60" s="88" t="s">
        <v>118</v>
      </c>
      <c r="F60" s="88" t="s">
        <v>870</v>
      </c>
      <c r="H60" s="4"/>
    </row>
    <row r="61" spans="1:8" s="85" customFormat="1" ht="30" customHeight="1" outlineLevel="3" x14ac:dyDescent="0.2">
      <c r="A61" s="89" t="s">
        <v>65</v>
      </c>
      <c r="B61" s="86">
        <f t="shared" si="0"/>
        <v>58</v>
      </c>
      <c r="C61" s="87" t="s">
        <v>119</v>
      </c>
      <c r="D61" s="88" t="s">
        <v>1153</v>
      </c>
      <c r="E61" s="88" t="s">
        <v>120</v>
      </c>
      <c r="F61" s="88" t="s">
        <v>870</v>
      </c>
      <c r="H61" s="4"/>
    </row>
    <row r="62" spans="1:8" ht="30" customHeight="1" outlineLevel="3" x14ac:dyDescent="0.2">
      <c r="B62" s="13">
        <f t="shared" si="0"/>
        <v>59</v>
      </c>
      <c r="C62" s="14" t="s">
        <v>121</v>
      </c>
      <c r="D62" s="15" t="s">
        <v>1199</v>
      </c>
      <c r="E62" s="15" t="s">
        <v>122</v>
      </c>
      <c r="F62" s="15" t="s">
        <v>1323</v>
      </c>
    </row>
    <row r="63" spans="1:8" ht="30" customHeight="1" outlineLevel="3" x14ac:dyDescent="0.2">
      <c r="B63" s="13">
        <f t="shared" si="0"/>
        <v>60</v>
      </c>
      <c r="C63" s="14" t="s">
        <v>123</v>
      </c>
      <c r="D63" s="15" t="s">
        <v>1201</v>
      </c>
      <c r="E63" s="15" t="s">
        <v>124</v>
      </c>
      <c r="F63" s="15" t="s">
        <v>1323</v>
      </c>
    </row>
    <row r="64" spans="1:8" ht="30" customHeight="1" outlineLevel="3" x14ac:dyDescent="0.2">
      <c r="B64" s="13">
        <f t="shared" si="0"/>
        <v>61</v>
      </c>
      <c r="C64" s="14" t="s">
        <v>125</v>
      </c>
      <c r="D64" s="15" t="s">
        <v>1200</v>
      </c>
      <c r="E64" s="15" t="s">
        <v>126</v>
      </c>
      <c r="F64" s="15" t="s">
        <v>1323</v>
      </c>
    </row>
    <row r="65" spans="1:8" ht="30" customHeight="1" outlineLevel="3" x14ac:dyDescent="0.2">
      <c r="B65" s="13">
        <f t="shared" si="0"/>
        <v>62</v>
      </c>
      <c r="C65" s="14" t="s">
        <v>127</v>
      </c>
      <c r="D65" s="15" t="s">
        <v>903</v>
      </c>
      <c r="E65" s="15" t="s">
        <v>128</v>
      </c>
      <c r="F65" s="15" t="s">
        <v>1323</v>
      </c>
    </row>
    <row r="66" spans="1:8" s="85" customFormat="1" ht="30" customHeight="1" outlineLevel="3" x14ac:dyDescent="0.2">
      <c r="A66" s="89" t="s">
        <v>65</v>
      </c>
      <c r="B66" s="86">
        <f t="shared" si="0"/>
        <v>63</v>
      </c>
      <c r="C66" s="87" t="s">
        <v>129</v>
      </c>
      <c r="D66" s="88" t="s">
        <v>1213</v>
      </c>
      <c r="E66" s="88" t="s">
        <v>88</v>
      </c>
      <c r="F66" s="88" t="s">
        <v>870</v>
      </c>
      <c r="H66" s="4"/>
    </row>
    <row r="67" spans="1:8" ht="30" customHeight="1" outlineLevel="2" x14ac:dyDescent="0.2">
      <c r="B67" s="11">
        <f t="shared" si="0"/>
        <v>64</v>
      </c>
      <c r="C67" s="12" t="s">
        <v>130</v>
      </c>
      <c r="D67" s="97" t="s">
        <v>1081</v>
      </c>
      <c r="E67" s="23" t="s">
        <v>131</v>
      </c>
      <c r="F67" s="103" t="s">
        <v>1323</v>
      </c>
    </row>
    <row r="68" spans="1:8" ht="30" customHeight="1" outlineLevel="3" x14ac:dyDescent="0.2">
      <c r="B68" s="24">
        <f t="shared" si="0"/>
        <v>65</v>
      </c>
      <c r="C68" s="25" t="s">
        <v>132</v>
      </c>
      <c r="D68" s="44" t="s">
        <v>1299</v>
      </c>
      <c r="E68" s="26" t="s">
        <v>133</v>
      </c>
      <c r="F68" s="104" t="s">
        <v>1323</v>
      </c>
    </row>
    <row r="69" spans="1:8" ht="30" customHeight="1" outlineLevel="3" x14ac:dyDescent="0.2">
      <c r="B69" s="24">
        <f t="shared" si="0"/>
        <v>66</v>
      </c>
      <c r="C69" s="25" t="s">
        <v>134</v>
      </c>
      <c r="D69" s="44" t="s">
        <v>1300</v>
      </c>
      <c r="E69" s="26" t="s">
        <v>135</v>
      </c>
      <c r="F69" s="104" t="s">
        <v>1323</v>
      </c>
    </row>
    <row r="70" spans="1:8" ht="30" customHeight="1" outlineLevel="2" x14ac:dyDescent="0.2">
      <c r="B70" s="11">
        <f t="shared" ref="B70:B133" si="1">B69+1</f>
        <v>67</v>
      </c>
      <c r="C70" s="12" t="s">
        <v>136</v>
      </c>
      <c r="D70" s="97" t="s">
        <v>905</v>
      </c>
      <c r="E70" s="23" t="s">
        <v>137</v>
      </c>
      <c r="F70" s="103" t="s">
        <v>1323</v>
      </c>
    </row>
    <row r="71" spans="1:8" ht="30" customHeight="1" outlineLevel="3" x14ac:dyDescent="0.2">
      <c r="B71" s="13">
        <f t="shared" si="1"/>
        <v>68</v>
      </c>
      <c r="C71" s="14" t="s">
        <v>138</v>
      </c>
      <c r="D71" s="15" t="s">
        <v>906</v>
      </c>
      <c r="E71" s="14" t="s">
        <v>139</v>
      </c>
      <c r="F71" s="15" t="s">
        <v>1323</v>
      </c>
    </row>
    <row r="72" spans="1:8" ht="30" customHeight="1" outlineLevel="3" x14ac:dyDescent="0.2">
      <c r="B72" s="13">
        <f t="shared" si="1"/>
        <v>69</v>
      </c>
      <c r="C72" s="14" t="s">
        <v>140</v>
      </c>
      <c r="D72" s="15" t="s">
        <v>907</v>
      </c>
      <c r="E72" s="14" t="s">
        <v>141</v>
      </c>
      <c r="F72" s="15" t="s">
        <v>1323</v>
      </c>
    </row>
    <row r="73" spans="1:8" ht="30" customHeight="1" outlineLevel="3" x14ac:dyDescent="0.2">
      <c r="B73" s="13">
        <f t="shared" si="1"/>
        <v>70</v>
      </c>
      <c r="C73" s="14" t="s">
        <v>142</v>
      </c>
      <c r="D73" s="15" t="s">
        <v>1217</v>
      </c>
      <c r="E73" s="14" t="s">
        <v>143</v>
      </c>
      <c r="F73" s="15" t="s">
        <v>1323</v>
      </c>
    </row>
    <row r="74" spans="1:8" ht="30" customHeight="1" outlineLevel="1" x14ac:dyDescent="0.2">
      <c r="B74" s="27">
        <f t="shared" si="1"/>
        <v>71</v>
      </c>
      <c r="C74" s="10" t="s">
        <v>144</v>
      </c>
      <c r="D74" s="67" t="s">
        <v>908</v>
      </c>
      <c r="E74" s="10" t="s">
        <v>145</v>
      </c>
      <c r="F74" s="67" t="s">
        <v>1323</v>
      </c>
    </row>
    <row r="75" spans="1:8" ht="30" customHeight="1" outlineLevel="2" x14ac:dyDescent="0.2">
      <c r="B75" s="11">
        <f t="shared" si="1"/>
        <v>72</v>
      </c>
      <c r="C75" s="12" t="s">
        <v>146</v>
      </c>
      <c r="D75" s="97" t="s">
        <v>909</v>
      </c>
      <c r="E75" s="28" t="s">
        <v>147</v>
      </c>
      <c r="F75" s="105" t="s">
        <v>1323</v>
      </c>
    </row>
    <row r="76" spans="1:8" ht="30" customHeight="1" outlineLevel="2" x14ac:dyDescent="0.2">
      <c r="B76" s="11">
        <f t="shared" si="1"/>
        <v>73</v>
      </c>
      <c r="C76" s="12" t="s">
        <v>148</v>
      </c>
      <c r="D76" s="97" t="s">
        <v>910</v>
      </c>
      <c r="E76" s="28" t="s">
        <v>149</v>
      </c>
      <c r="F76" s="105" t="s">
        <v>1323</v>
      </c>
    </row>
    <row r="77" spans="1:8" s="29" customFormat="1" ht="30" customHeight="1" outlineLevel="1" x14ac:dyDescent="0.2">
      <c r="B77" s="27">
        <f t="shared" si="1"/>
        <v>74</v>
      </c>
      <c r="C77" s="30" t="s">
        <v>150</v>
      </c>
      <c r="D77" s="100" t="s">
        <v>871</v>
      </c>
      <c r="E77" s="30" t="s">
        <v>151</v>
      </c>
      <c r="F77" s="100" t="s">
        <v>870</v>
      </c>
      <c r="H77" s="4"/>
    </row>
    <row r="78" spans="1:8" ht="30" customHeight="1" outlineLevel="2" x14ac:dyDescent="0.2">
      <c r="B78" s="16">
        <f t="shared" si="1"/>
        <v>75</v>
      </c>
      <c r="C78" s="17" t="s">
        <v>152</v>
      </c>
      <c r="D78" s="31" t="s">
        <v>873</v>
      </c>
      <c r="E78" s="31" t="s">
        <v>153</v>
      </c>
      <c r="F78" s="31" t="s">
        <v>870</v>
      </c>
    </row>
    <row r="79" spans="1:8" ht="30" customHeight="1" outlineLevel="2" x14ac:dyDescent="0.2">
      <c r="B79" s="16">
        <f t="shared" si="1"/>
        <v>76</v>
      </c>
      <c r="C79" s="17" t="s">
        <v>154</v>
      </c>
      <c r="D79" s="31" t="s">
        <v>880</v>
      </c>
      <c r="E79" s="17" t="s">
        <v>155</v>
      </c>
      <c r="F79" s="31" t="s">
        <v>870</v>
      </c>
    </row>
    <row r="80" spans="1:8" ht="30" customHeight="1" outlineLevel="2" x14ac:dyDescent="0.2">
      <c r="B80" s="16">
        <f t="shared" si="1"/>
        <v>77</v>
      </c>
      <c r="C80" s="17" t="s">
        <v>156</v>
      </c>
      <c r="D80" s="31" t="s">
        <v>894</v>
      </c>
      <c r="E80" s="17" t="s">
        <v>157</v>
      </c>
      <c r="F80" s="31" t="s">
        <v>870</v>
      </c>
    </row>
    <row r="81" spans="2:6" ht="30" customHeight="1" outlineLevel="2" x14ac:dyDescent="0.2">
      <c r="B81" s="16">
        <f t="shared" si="1"/>
        <v>78</v>
      </c>
      <c r="C81" s="17" t="s">
        <v>158</v>
      </c>
      <c r="D81" s="31" t="s">
        <v>872</v>
      </c>
      <c r="E81" s="31" t="s">
        <v>159</v>
      </c>
      <c r="F81" s="31" t="s">
        <v>870</v>
      </c>
    </row>
    <row r="82" spans="2:6" ht="30" customHeight="1" outlineLevel="2" x14ac:dyDescent="0.2">
      <c r="B82" s="16">
        <f t="shared" si="1"/>
        <v>79</v>
      </c>
      <c r="C82" s="17" t="s">
        <v>160</v>
      </c>
      <c r="D82" s="31" t="s">
        <v>1159</v>
      </c>
      <c r="E82" s="17" t="s">
        <v>161</v>
      </c>
      <c r="F82" s="31" t="s">
        <v>870</v>
      </c>
    </row>
    <row r="83" spans="2:6" ht="30" customHeight="1" outlineLevel="2" x14ac:dyDescent="0.2">
      <c r="B83" s="16">
        <f t="shared" si="1"/>
        <v>80</v>
      </c>
      <c r="C83" s="17" t="s">
        <v>162</v>
      </c>
      <c r="D83" s="31" t="s">
        <v>1222</v>
      </c>
      <c r="E83" s="17" t="s">
        <v>163</v>
      </c>
      <c r="F83" s="31" t="s">
        <v>870</v>
      </c>
    </row>
    <row r="84" spans="2:6" ht="30" customHeight="1" x14ac:dyDescent="0.2">
      <c r="B84" s="7">
        <f t="shared" si="1"/>
        <v>81</v>
      </c>
      <c r="C84" s="8" t="s">
        <v>164</v>
      </c>
      <c r="D84" s="96" t="s">
        <v>885</v>
      </c>
      <c r="E84" s="22" t="s">
        <v>165</v>
      </c>
      <c r="F84" s="102" t="s">
        <v>885</v>
      </c>
    </row>
    <row r="85" spans="2:6" ht="30" customHeight="1" outlineLevel="1" x14ac:dyDescent="0.2">
      <c r="B85" s="9">
        <f t="shared" si="1"/>
        <v>82</v>
      </c>
      <c r="C85" s="10" t="s">
        <v>166</v>
      </c>
      <c r="D85" s="67" t="s">
        <v>912</v>
      </c>
      <c r="E85" s="10" t="s">
        <v>167</v>
      </c>
      <c r="F85" s="67" t="s">
        <v>885</v>
      </c>
    </row>
    <row r="86" spans="2:6" ht="30" customHeight="1" outlineLevel="2" x14ac:dyDescent="0.2">
      <c r="B86" s="11">
        <f t="shared" si="1"/>
        <v>83</v>
      </c>
      <c r="C86" s="12" t="s">
        <v>168</v>
      </c>
      <c r="D86" s="97" t="s">
        <v>913</v>
      </c>
      <c r="E86" s="12" t="s">
        <v>169</v>
      </c>
      <c r="F86" s="97" t="s">
        <v>885</v>
      </c>
    </row>
    <row r="87" spans="2:6" ht="30" customHeight="1" outlineLevel="3" x14ac:dyDescent="0.2">
      <c r="B87" s="13">
        <f t="shared" si="1"/>
        <v>84</v>
      </c>
      <c r="C87" s="14" t="s">
        <v>170</v>
      </c>
      <c r="D87" s="15" t="s">
        <v>914</v>
      </c>
      <c r="E87" s="14" t="s">
        <v>171</v>
      </c>
      <c r="F87" s="15" t="s">
        <v>885</v>
      </c>
    </row>
    <row r="88" spans="2:6" ht="30" customHeight="1" outlineLevel="3" x14ac:dyDescent="0.2">
      <c r="B88" s="24">
        <f t="shared" si="1"/>
        <v>85</v>
      </c>
      <c r="C88" s="25" t="s">
        <v>172</v>
      </c>
      <c r="D88" s="44" t="s">
        <v>1301</v>
      </c>
      <c r="E88" s="25" t="s">
        <v>173</v>
      </c>
      <c r="F88" s="44" t="s">
        <v>885</v>
      </c>
    </row>
    <row r="89" spans="2:6" ht="30" customHeight="1" outlineLevel="3" x14ac:dyDescent="0.2">
      <c r="B89" s="13">
        <f t="shared" si="1"/>
        <v>86</v>
      </c>
      <c r="C89" s="14" t="s">
        <v>174</v>
      </c>
      <c r="D89" s="15" t="s">
        <v>916</v>
      </c>
      <c r="E89" s="14" t="s">
        <v>175</v>
      </c>
      <c r="F89" s="15" t="s">
        <v>885</v>
      </c>
    </row>
    <row r="90" spans="2:6" ht="30" customHeight="1" outlineLevel="3" x14ac:dyDescent="0.2">
      <c r="B90" s="13">
        <f t="shared" si="1"/>
        <v>87</v>
      </c>
      <c r="C90" s="14" t="s">
        <v>176</v>
      </c>
      <c r="D90" s="15" t="s">
        <v>917</v>
      </c>
      <c r="E90" s="14" t="s">
        <v>177</v>
      </c>
      <c r="F90" s="15" t="s">
        <v>885</v>
      </c>
    </row>
    <row r="91" spans="2:6" ht="30" customHeight="1" outlineLevel="3" x14ac:dyDescent="0.2">
      <c r="B91" s="13">
        <f t="shared" si="1"/>
        <v>88</v>
      </c>
      <c r="C91" s="14" t="s">
        <v>178</v>
      </c>
      <c r="D91" s="15" t="s">
        <v>922</v>
      </c>
      <c r="E91" s="14" t="s">
        <v>179</v>
      </c>
      <c r="F91" s="15" t="s">
        <v>885</v>
      </c>
    </row>
    <row r="92" spans="2:6" ht="30" customHeight="1" outlineLevel="3" x14ac:dyDescent="0.2">
      <c r="B92" s="13">
        <f t="shared" si="1"/>
        <v>89</v>
      </c>
      <c r="C92" s="14" t="s">
        <v>180</v>
      </c>
      <c r="D92" s="15" t="s">
        <v>915</v>
      </c>
      <c r="E92" s="14" t="s">
        <v>181</v>
      </c>
      <c r="F92" s="15" t="s">
        <v>885</v>
      </c>
    </row>
    <row r="93" spans="2:6" ht="30" customHeight="1" outlineLevel="3" x14ac:dyDescent="0.2">
      <c r="B93" s="13">
        <f t="shared" si="1"/>
        <v>90</v>
      </c>
      <c r="C93" s="14" t="s">
        <v>182</v>
      </c>
      <c r="D93" s="15" t="s">
        <v>1080</v>
      </c>
      <c r="E93" s="14" t="s">
        <v>183</v>
      </c>
      <c r="F93" s="15" t="s">
        <v>885</v>
      </c>
    </row>
    <row r="94" spans="2:6" ht="30" customHeight="1" outlineLevel="2" x14ac:dyDescent="0.2">
      <c r="B94" s="11">
        <f t="shared" si="1"/>
        <v>91</v>
      </c>
      <c r="C94" s="12" t="s">
        <v>184</v>
      </c>
      <c r="D94" s="97" t="s">
        <v>918</v>
      </c>
      <c r="E94" s="12" t="s">
        <v>185</v>
      </c>
      <c r="F94" s="97" t="s">
        <v>885</v>
      </c>
    </row>
    <row r="95" spans="2:6" ht="30" customHeight="1" outlineLevel="3" x14ac:dyDescent="0.2">
      <c r="B95" s="13">
        <f t="shared" si="1"/>
        <v>92</v>
      </c>
      <c r="C95" s="14" t="s">
        <v>186</v>
      </c>
      <c r="D95" s="15" t="s">
        <v>919</v>
      </c>
      <c r="E95" s="14" t="s">
        <v>187</v>
      </c>
      <c r="F95" s="15" t="s">
        <v>885</v>
      </c>
    </row>
    <row r="96" spans="2:6" ht="30" customHeight="1" outlineLevel="3" x14ac:dyDescent="0.2">
      <c r="B96" s="24">
        <f t="shared" si="1"/>
        <v>93</v>
      </c>
      <c r="C96" s="25" t="s">
        <v>188</v>
      </c>
      <c r="D96" s="44" t="s">
        <v>1302</v>
      </c>
      <c r="E96" s="25" t="s">
        <v>189</v>
      </c>
      <c r="F96" s="44" t="s">
        <v>885</v>
      </c>
    </row>
    <row r="97" spans="2:6" ht="30" customHeight="1" outlineLevel="3" x14ac:dyDescent="0.2">
      <c r="B97" s="13">
        <f t="shared" si="1"/>
        <v>94</v>
      </c>
      <c r="C97" s="14" t="s">
        <v>190</v>
      </c>
      <c r="D97" s="15" t="s">
        <v>920</v>
      </c>
      <c r="E97" s="14" t="s">
        <v>191</v>
      </c>
      <c r="F97" s="15" t="s">
        <v>885</v>
      </c>
    </row>
    <row r="98" spans="2:6" ht="30" customHeight="1" outlineLevel="3" x14ac:dyDescent="0.2">
      <c r="B98" s="13">
        <f t="shared" si="1"/>
        <v>95</v>
      </c>
      <c r="C98" s="14" t="s">
        <v>192</v>
      </c>
      <c r="D98" s="15" t="s">
        <v>921</v>
      </c>
      <c r="E98" s="14" t="s">
        <v>193</v>
      </c>
      <c r="F98" s="15" t="s">
        <v>885</v>
      </c>
    </row>
    <row r="99" spans="2:6" ht="30" customHeight="1" outlineLevel="3" x14ac:dyDescent="0.2">
      <c r="B99" s="13">
        <f t="shared" si="1"/>
        <v>96</v>
      </c>
      <c r="C99" s="14" t="s">
        <v>194</v>
      </c>
      <c r="D99" s="15" t="s">
        <v>1192</v>
      </c>
      <c r="E99" s="14" t="s">
        <v>195</v>
      </c>
      <c r="F99" s="15" t="s">
        <v>885</v>
      </c>
    </row>
    <row r="100" spans="2:6" ht="30" customHeight="1" outlineLevel="2" x14ac:dyDescent="0.2">
      <c r="B100" s="11">
        <f t="shared" si="1"/>
        <v>97</v>
      </c>
      <c r="C100" s="12" t="s">
        <v>196</v>
      </c>
      <c r="D100" s="97" t="s">
        <v>928</v>
      </c>
      <c r="E100" s="12" t="s">
        <v>197</v>
      </c>
      <c r="F100" s="97" t="s">
        <v>885</v>
      </c>
    </row>
    <row r="101" spans="2:6" ht="30" customHeight="1" outlineLevel="3" x14ac:dyDescent="0.2">
      <c r="B101" s="13">
        <f t="shared" si="1"/>
        <v>98</v>
      </c>
      <c r="C101" s="14" t="s">
        <v>198</v>
      </c>
      <c r="D101" s="15" t="s">
        <v>1010</v>
      </c>
      <c r="E101" s="14" t="s">
        <v>199</v>
      </c>
      <c r="F101" s="15" t="s">
        <v>885</v>
      </c>
    </row>
    <row r="102" spans="2:6" ht="30" customHeight="1" outlineLevel="3" x14ac:dyDescent="0.2">
      <c r="B102" s="13">
        <f t="shared" si="1"/>
        <v>99</v>
      </c>
      <c r="C102" s="14" t="s">
        <v>200</v>
      </c>
      <c r="D102" s="15" t="s">
        <v>954</v>
      </c>
      <c r="E102" s="14" t="s">
        <v>201</v>
      </c>
      <c r="F102" s="15" t="s">
        <v>885</v>
      </c>
    </row>
    <row r="103" spans="2:6" ht="30" customHeight="1" outlineLevel="3" x14ac:dyDescent="0.2">
      <c r="B103" s="13">
        <f t="shared" si="1"/>
        <v>100</v>
      </c>
      <c r="C103" s="14" t="s">
        <v>202</v>
      </c>
      <c r="D103" s="15" t="s">
        <v>929</v>
      </c>
      <c r="E103" s="14" t="s">
        <v>34</v>
      </c>
      <c r="F103" s="15" t="s">
        <v>885</v>
      </c>
    </row>
    <row r="104" spans="2:6" ht="30" customHeight="1" outlineLevel="3" x14ac:dyDescent="0.2">
      <c r="B104" s="13">
        <f t="shared" si="1"/>
        <v>101</v>
      </c>
      <c r="C104" s="14" t="s">
        <v>203</v>
      </c>
      <c r="D104" s="15" t="s">
        <v>1209</v>
      </c>
      <c r="E104" s="14" t="s">
        <v>204</v>
      </c>
      <c r="F104" s="15" t="s">
        <v>885</v>
      </c>
    </row>
    <row r="105" spans="2:6" ht="30" customHeight="1" outlineLevel="1" x14ac:dyDescent="0.2">
      <c r="B105" s="9">
        <f t="shared" si="1"/>
        <v>102</v>
      </c>
      <c r="C105" s="10" t="s">
        <v>205</v>
      </c>
      <c r="D105" s="67" t="s">
        <v>886</v>
      </c>
      <c r="E105" s="10" t="s">
        <v>206</v>
      </c>
      <c r="F105" s="67" t="s">
        <v>870</v>
      </c>
    </row>
    <row r="106" spans="2:6" ht="30" customHeight="1" outlineLevel="2" x14ac:dyDescent="0.2">
      <c r="B106" s="11">
        <f t="shared" si="1"/>
        <v>103</v>
      </c>
      <c r="C106" s="12" t="s">
        <v>207</v>
      </c>
      <c r="D106" s="97" t="s">
        <v>887</v>
      </c>
      <c r="E106" s="12" t="s">
        <v>208</v>
      </c>
      <c r="F106" s="97" t="s">
        <v>870</v>
      </c>
    </row>
    <row r="107" spans="2:6" ht="30" customHeight="1" outlineLevel="3" x14ac:dyDescent="0.2">
      <c r="B107" s="13">
        <f t="shared" si="1"/>
        <v>104</v>
      </c>
      <c r="C107" s="14" t="s">
        <v>209</v>
      </c>
      <c r="D107" s="15" t="s">
        <v>888</v>
      </c>
      <c r="E107" s="14" t="s">
        <v>210</v>
      </c>
      <c r="F107" s="15" t="s">
        <v>870</v>
      </c>
    </row>
    <row r="108" spans="2:6" ht="30" customHeight="1" outlineLevel="3" x14ac:dyDescent="0.2">
      <c r="B108" s="13">
        <f t="shared" si="1"/>
        <v>105</v>
      </c>
      <c r="C108" s="14" t="s">
        <v>211</v>
      </c>
      <c r="D108" s="15" t="s">
        <v>890</v>
      </c>
      <c r="E108" s="14" t="s">
        <v>212</v>
      </c>
      <c r="F108" s="15" t="s">
        <v>870</v>
      </c>
    </row>
    <row r="109" spans="2:6" ht="30" customHeight="1" outlineLevel="3" x14ac:dyDescent="0.2">
      <c r="B109" s="13">
        <f t="shared" si="1"/>
        <v>106</v>
      </c>
      <c r="C109" s="14" t="s">
        <v>213</v>
      </c>
      <c r="D109" s="15" t="s">
        <v>897</v>
      </c>
      <c r="E109" s="14" t="s">
        <v>214</v>
      </c>
      <c r="F109" s="15" t="s">
        <v>870</v>
      </c>
    </row>
    <row r="110" spans="2:6" ht="30" customHeight="1" outlineLevel="3" x14ac:dyDescent="0.2">
      <c r="B110" s="13">
        <f t="shared" si="1"/>
        <v>107</v>
      </c>
      <c r="C110" s="14" t="s">
        <v>215</v>
      </c>
      <c r="D110" s="15" t="s">
        <v>899</v>
      </c>
      <c r="E110" s="14" t="s">
        <v>216</v>
      </c>
      <c r="F110" s="15" t="s">
        <v>870</v>
      </c>
    </row>
    <row r="111" spans="2:6" ht="30" customHeight="1" outlineLevel="3" x14ac:dyDescent="0.2">
      <c r="B111" s="13">
        <f t="shared" si="1"/>
        <v>108</v>
      </c>
      <c r="C111" s="14" t="s">
        <v>217</v>
      </c>
      <c r="D111" s="15" t="s">
        <v>911</v>
      </c>
      <c r="E111" s="14" t="s">
        <v>218</v>
      </c>
      <c r="F111" s="15" t="s">
        <v>870</v>
      </c>
    </row>
    <row r="112" spans="2:6" ht="30" customHeight="1" outlineLevel="3" x14ac:dyDescent="0.2">
      <c r="B112" s="13">
        <f>B111+1</f>
        <v>109</v>
      </c>
      <c r="C112" s="14" t="s">
        <v>219</v>
      </c>
      <c r="D112" s="15" t="s">
        <v>1219</v>
      </c>
      <c r="E112" s="15" t="s">
        <v>220</v>
      </c>
      <c r="F112" s="15" t="s">
        <v>870</v>
      </c>
    </row>
    <row r="113" spans="2:8" ht="30" customHeight="1" outlineLevel="3" x14ac:dyDescent="0.2">
      <c r="B113" s="13">
        <f>B112+1</f>
        <v>110</v>
      </c>
      <c r="C113" s="14" t="s">
        <v>221</v>
      </c>
      <c r="D113" s="15" t="s">
        <v>1198</v>
      </c>
      <c r="E113" s="15" t="s">
        <v>222</v>
      </c>
      <c r="F113" s="15" t="s">
        <v>870</v>
      </c>
    </row>
    <row r="114" spans="2:8" ht="30" customHeight="1" outlineLevel="2" x14ac:dyDescent="0.2">
      <c r="B114" s="11">
        <f>B113+1</f>
        <v>111</v>
      </c>
      <c r="C114" s="12" t="s">
        <v>223</v>
      </c>
      <c r="D114" s="97" t="s">
        <v>933</v>
      </c>
      <c r="E114" s="12" t="s">
        <v>224</v>
      </c>
      <c r="F114" s="97" t="s">
        <v>885</v>
      </c>
    </row>
    <row r="115" spans="2:8" ht="30" customHeight="1" outlineLevel="1" x14ac:dyDescent="0.2">
      <c r="B115" s="9">
        <f t="shared" si="1"/>
        <v>112</v>
      </c>
      <c r="C115" s="10" t="s">
        <v>225</v>
      </c>
      <c r="D115" s="67" t="s">
        <v>923</v>
      </c>
      <c r="E115" s="10" t="s">
        <v>226</v>
      </c>
      <c r="F115" s="67" t="s">
        <v>885</v>
      </c>
    </row>
    <row r="116" spans="2:8" ht="30" customHeight="1" outlineLevel="2" x14ac:dyDescent="0.2">
      <c r="B116" s="11">
        <f t="shared" si="1"/>
        <v>113</v>
      </c>
      <c r="C116" s="12" t="s">
        <v>227</v>
      </c>
      <c r="D116" s="97" t="s">
        <v>924</v>
      </c>
      <c r="E116" s="12" t="s">
        <v>228</v>
      </c>
      <c r="F116" s="97" t="s">
        <v>885</v>
      </c>
    </row>
    <row r="117" spans="2:8" ht="30" customHeight="1" outlineLevel="3" x14ac:dyDescent="0.2">
      <c r="B117" s="13">
        <f t="shared" si="1"/>
        <v>114</v>
      </c>
      <c r="C117" s="14" t="s">
        <v>229</v>
      </c>
      <c r="D117" s="15" t="s">
        <v>939</v>
      </c>
      <c r="E117" s="14" t="s">
        <v>230</v>
      </c>
      <c r="F117" s="15" t="s">
        <v>885</v>
      </c>
    </row>
    <row r="118" spans="2:8" ht="30" customHeight="1" outlineLevel="3" x14ac:dyDescent="0.2">
      <c r="B118" s="13">
        <f t="shared" si="1"/>
        <v>115</v>
      </c>
      <c r="C118" s="14" t="s">
        <v>231</v>
      </c>
      <c r="D118" s="15" t="s">
        <v>940</v>
      </c>
      <c r="E118" s="14" t="s">
        <v>232</v>
      </c>
      <c r="F118" s="15" t="s">
        <v>885</v>
      </c>
    </row>
    <row r="119" spans="2:8" ht="30" customHeight="1" outlineLevel="3" x14ac:dyDescent="0.2">
      <c r="B119" s="13">
        <f t="shared" si="1"/>
        <v>116</v>
      </c>
      <c r="C119" s="14" t="s">
        <v>233</v>
      </c>
      <c r="D119" s="15" t="s">
        <v>941</v>
      </c>
      <c r="E119" s="14" t="s">
        <v>234</v>
      </c>
      <c r="F119" s="15" t="s">
        <v>885</v>
      </c>
    </row>
    <row r="120" spans="2:8" ht="30" customHeight="1" outlineLevel="3" x14ac:dyDescent="0.2">
      <c r="B120" s="13">
        <f t="shared" si="1"/>
        <v>117</v>
      </c>
      <c r="C120" s="14" t="s">
        <v>235</v>
      </c>
      <c r="D120" s="15" t="s">
        <v>942</v>
      </c>
      <c r="E120" s="14" t="s">
        <v>236</v>
      </c>
      <c r="F120" s="15" t="s">
        <v>885</v>
      </c>
    </row>
    <row r="121" spans="2:8" s="32" customFormat="1" ht="30" customHeight="1" outlineLevel="3" x14ac:dyDescent="0.2">
      <c r="B121" s="13">
        <f t="shared" si="1"/>
        <v>118</v>
      </c>
      <c r="C121" s="14" t="s">
        <v>237</v>
      </c>
      <c r="D121" s="15" t="s">
        <v>934</v>
      </c>
      <c r="E121" s="14" t="s">
        <v>238</v>
      </c>
      <c r="F121" s="15" t="s">
        <v>885</v>
      </c>
      <c r="H121" s="4"/>
    </row>
    <row r="122" spans="2:8" s="32" customFormat="1" ht="30" customHeight="1" outlineLevel="3" x14ac:dyDescent="0.2">
      <c r="B122" s="13">
        <f t="shared" si="1"/>
        <v>119</v>
      </c>
      <c r="C122" s="14" t="s">
        <v>239</v>
      </c>
      <c r="D122" s="15" t="s">
        <v>925</v>
      </c>
      <c r="E122" s="14" t="s">
        <v>240</v>
      </c>
      <c r="F122" s="15" t="s">
        <v>885</v>
      </c>
      <c r="H122" s="4"/>
    </row>
    <row r="123" spans="2:8" ht="30" customHeight="1" outlineLevel="3" x14ac:dyDescent="0.2">
      <c r="B123" s="13">
        <f t="shared" si="1"/>
        <v>120</v>
      </c>
      <c r="C123" s="14" t="s">
        <v>241</v>
      </c>
      <c r="D123" s="15" t="s">
        <v>1083</v>
      </c>
      <c r="E123" s="14" t="s">
        <v>242</v>
      </c>
      <c r="F123" s="15" t="s">
        <v>885</v>
      </c>
    </row>
    <row r="124" spans="2:8" ht="30" customHeight="1" outlineLevel="3" x14ac:dyDescent="0.2">
      <c r="B124" s="13">
        <f t="shared" si="1"/>
        <v>121</v>
      </c>
      <c r="C124" s="14" t="s">
        <v>243</v>
      </c>
      <c r="D124" s="15" t="s">
        <v>1161</v>
      </c>
      <c r="E124" s="14" t="s">
        <v>244</v>
      </c>
      <c r="F124" s="15" t="s">
        <v>885</v>
      </c>
    </row>
    <row r="125" spans="2:8" ht="30" customHeight="1" outlineLevel="2" x14ac:dyDescent="0.2">
      <c r="B125" s="11">
        <f t="shared" si="1"/>
        <v>122</v>
      </c>
      <c r="C125" s="12" t="s">
        <v>245</v>
      </c>
      <c r="D125" s="97" t="s">
        <v>926</v>
      </c>
      <c r="E125" s="12" t="s">
        <v>246</v>
      </c>
      <c r="F125" s="97" t="s">
        <v>885</v>
      </c>
    </row>
    <row r="126" spans="2:8" ht="30" customHeight="1" outlineLevel="3" x14ac:dyDescent="0.2">
      <c r="B126" s="13">
        <f t="shared" si="1"/>
        <v>123</v>
      </c>
      <c r="C126" s="14" t="s">
        <v>247</v>
      </c>
      <c r="D126" s="15" t="s">
        <v>927</v>
      </c>
      <c r="E126" s="14" t="s">
        <v>248</v>
      </c>
      <c r="F126" s="15" t="s">
        <v>885</v>
      </c>
    </row>
    <row r="127" spans="2:8" ht="30" customHeight="1" outlineLevel="3" x14ac:dyDescent="0.2">
      <c r="B127" s="13">
        <f t="shared" si="1"/>
        <v>124</v>
      </c>
      <c r="C127" s="14" t="s">
        <v>249</v>
      </c>
      <c r="D127" s="15" t="s">
        <v>936</v>
      </c>
      <c r="E127" s="14" t="s">
        <v>250</v>
      </c>
      <c r="F127" s="15" t="s">
        <v>885</v>
      </c>
    </row>
    <row r="128" spans="2:8" ht="30" customHeight="1" outlineLevel="3" x14ac:dyDescent="0.2">
      <c r="B128" s="13">
        <f t="shared" si="1"/>
        <v>125</v>
      </c>
      <c r="C128" s="14" t="s">
        <v>251</v>
      </c>
      <c r="D128" s="15" t="s">
        <v>935</v>
      </c>
      <c r="E128" s="14" t="s">
        <v>252</v>
      </c>
      <c r="F128" s="15" t="s">
        <v>885</v>
      </c>
    </row>
    <row r="129" spans="2:8" ht="30" customHeight="1" outlineLevel="3" x14ac:dyDescent="0.2">
      <c r="B129" s="13">
        <f t="shared" si="1"/>
        <v>126</v>
      </c>
      <c r="C129" s="14" t="s">
        <v>253</v>
      </c>
      <c r="D129" s="15" t="s">
        <v>944</v>
      </c>
      <c r="E129" s="14" t="s">
        <v>254</v>
      </c>
      <c r="F129" s="15" t="s">
        <v>885</v>
      </c>
    </row>
    <row r="130" spans="2:8" ht="30" customHeight="1" outlineLevel="3" x14ac:dyDescent="0.2">
      <c r="B130" s="13">
        <f t="shared" si="1"/>
        <v>127</v>
      </c>
      <c r="C130" s="14" t="s">
        <v>255</v>
      </c>
      <c r="D130" s="15" t="s">
        <v>1193</v>
      </c>
      <c r="E130" s="14" t="s">
        <v>256</v>
      </c>
      <c r="F130" s="15" t="s">
        <v>885</v>
      </c>
    </row>
    <row r="131" spans="2:8" ht="30" customHeight="1" outlineLevel="2" x14ac:dyDescent="0.2">
      <c r="B131" s="11">
        <f t="shared" si="1"/>
        <v>128</v>
      </c>
      <c r="C131" s="12" t="s">
        <v>257</v>
      </c>
      <c r="D131" s="97" t="s">
        <v>937</v>
      </c>
      <c r="E131" s="12" t="s">
        <v>258</v>
      </c>
      <c r="F131" s="97" t="s">
        <v>885</v>
      </c>
    </row>
    <row r="132" spans="2:8" ht="30" customHeight="1" outlineLevel="3" x14ac:dyDescent="0.2">
      <c r="B132" s="13">
        <f t="shared" si="1"/>
        <v>129</v>
      </c>
      <c r="C132" s="14" t="s">
        <v>259</v>
      </c>
      <c r="D132" s="15" t="s">
        <v>938</v>
      </c>
      <c r="E132" s="14" t="s">
        <v>260</v>
      </c>
      <c r="F132" s="15" t="s">
        <v>885</v>
      </c>
    </row>
    <row r="133" spans="2:8" s="32" customFormat="1" ht="30" customHeight="1" outlineLevel="3" x14ac:dyDescent="0.2">
      <c r="B133" s="13">
        <f t="shared" si="1"/>
        <v>130</v>
      </c>
      <c r="C133" s="14" t="s">
        <v>261</v>
      </c>
      <c r="D133" s="15" t="s">
        <v>943</v>
      </c>
      <c r="E133" s="14" t="s">
        <v>262</v>
      </c>
      <c r="F133" s="15" t="s">
        <v>885</v>
      </c>
      <c r="H133" s="4"/>
    </row>
    <row r="134" spans="2:8" ht="30" customHeight="1" outlineLevel="3" x14ac:dyDescent="0.2">
      <c r="B134" s="13">
        <f t="shared" ref="B134:B197" si="2">B133+1</f>
        <v>131</v>
      </c>
      <c r="C134" s="14" t="s">
        <v>263</v>
      </c>
      <c r="D134" s="15" t="s">
        <v>1162</v>
      </c>
      <c r="E134" s="14" t="s">
        <v>264</v>
      </c>
      <c r="F134" s="15" t="s">
        <v>885</v>
      </c>
    </row>
    <row r="135" spans="2:8" ht="30" customHeight="1" x14ac:dyDescent="0.2">
      <c r="B135" s="7">
        <f t="shared" si="2"/>
        <v>132</v>
      </c>
      <c r="C135" s="8" t="s">
        <v>265</v>
      </c>
      <c r="D135" s="96" t="s">
        <v>948</v>
      </c>
      <c r="E135" s="22" t="s">
        <v>266</v>
      </c>
      <c r="F135" s="102" t="s">
        <v>948</v>
      </c>
    </row>
    <row r="136" spans="2:8" ht="30" customHeight="1" outlineLevel="1" x14ac:dyDescent="0.2">
      <c r="B136" s="9">
        <f t="shared" si="2"/>
        <v>133</v>
      </c>
      <c r="C136" s="10" t="s">
        <v>267</v>
      </c>
      <c r="D136" s="67" t="s">
        <v>977</v>
      </c>
      <c r="E136" s="10" t="s">
        <v>268</v>
      </c>
      <c r="F136" s="67" t="s">
        <v>1324</v>
      </c>
      <c r="H136" s="96"/>
    </row>
    <row r="137" spans="2:8" ht="30" customHeight="1" outlineLevel="2" x14ac:dyDescent="0.2">
      <c r="B137" s="11">
        <f t="shared" si="2"/>
        <v>134</v>
      </c>
      <c r="C137" s="12" t="s">
        <v>269</v>
      </c>
      <c r="D137" s="97" t="s">
        <v>978</v>
      </c>
      <c r="E137" s="23" t="s">
        <v>270</v>
      </c>
      <c r="F137" s="103" t="s">
        <v>1324</v>
      </c>
      <c r="H137" s="96"/>
    </row>
    <row r="138" spans="2:8" ht="30" customHeight="1" outlineLevel="3" x14ac:dyDescent="0.2">
      <c r="B138" s="13">
        <f t="shared" si="2"/>
        <v>135</v>
      </c>
      <c r="C138" s="14" t="s">
        <v>271</v>
      </c>
      <c r="D138" s="15" t="s">
        <v>979</v>
      </c>
      <c r="E138" s="14" t="s">
        <v>272</v>
      </c>
      <c r="F138" s="15" t="s">
        <v>1324</v>
      </c>
      <c r="H138" s="96"/>
    </row>
    <row r="139" spans="2:8" ht="30" customHeight="1" outlineLevel="3" x14ac:dyDescent="0.2">
      <c r="B139" s="13">
        <f t="shared" si="2"/>
        <v>136</v>
      </c>
      <c r="C139" s="14" t="s">
        <v>273</v>
      </c>
      <c r="D139" s="15" t="s">
        <v>980</v>
      </c>
      <c r="E139" s="14" t="s">
        <v>274</v>
      </c>
      <c r="F139" s="15" t="s">
        <v>1324</v>
      </c>
      <c r="H139" s="96"/>
    </row>
    <row r="140" spans="2:8" ht="30" customHeight="1" outlineLevel="2" x14ac:dyDescent="0.2">
      <c r="B140" s="11">
        <f t="shared" si="2"/>
        <v>137</v>
      </c>
      <c r="C140" s="12" t="s">
        <v>275</v>
      </c>
      <c r="D140" s="97" t="s">
        <v>1303</v>
      </c>
      <c r="E140" s="12" t="s">
        <v>276</v>
      </c>
      <c r="F140" s="97" t="s">
        <v>1324</v>
      </c>
    </row>
    <row r="141" spans="2:8" ht="30" customHeight="1" outlineLevel="2" x14ac:dyDescent="0.2">
      <c r="B141" s="11">
        <f t="shared" si="2"/>
        <v>138</v>
      </c>
      <c r="C141" s="12" t="s">
        <v>277</v>
      </c>
      <c r="D141" s="97" t="s">
        <v>981</v>
      </c>
      <c r="E141" s="31" t="s">
        <v>278</v>
      </c>
      <c r="F141" s="31" t="s">
        <v>1324</v>
      </c>
    </row>
    <row r="142" spans="2:8" ht="30" customHeight="1" outlineLevel="3" x14ac:dyDescent="0.2">
      <c r="B142" s="13">
        <f t="shared" si="2"/>
        <v>139</v>
      </c>
      <c r="C142" s="14" t="s">
        <v>279</v>
      </c>
      <c r="D142" s="15" t="s">
        <v>982</v>
      </c>
      <c r="E142" s="14" t="s">
        <v>280</v>
      </c>
      <c r="F142" s="15" t="s">
        <v>1324</v>
      </c>
    </row>
    <row r="143" spans="2:8" ht="30" customHeight="1" outlineLevel="3" x14ac:dyDescent="0.2">
      <c r="B143" s="13">
        <f t="shared" si="2"/>
        <v>140</v>
      </c>
      <c r="C143" s="14" t="s">
        <v>281</v>
      </c>
      <c r="D143" s="15" t="s">
        <v>1079</v>
      </c>
      <c r="E143" s="14" t="s">
        <v>282</v>
      </c>
      <c r="F143" s="15" t="s">
        <v>1324</v>
      </c>
    </row>
    <row r="144" spans="2:8" ht="30" customHeight="1" outlineLevel="1" x14ac:dyDescent="0.2">
      <c r="B144" s="9">
        <f>B143+1</f>
        <v>141</v>
      </c>
      <c r="C144" s="10" t="s">
        <v>283</v>
      </c>
      <c r="D144" s="67" t="s">
        <v>997</v>
      </c>
      <c r="E144" s="10" t="s">
        <v>284</v>
      </c>
      <c r="F144" s="67" t="s">
        <v>1325</v>
      </c>
    </row>
    <row r="145" spans="2:6" ht="30" customHeight="1" outlineLevel="2" x14ac:dyDescent="0.2">
      <c r="B145" s="11">
        <f t="shared" si="2"/>
        <v>142</v>
      </c>
      <c r="C145" s="12" t="s">
        <v>285</v>
      </c>
      <c r="D145" s="97" t="s">
        <v>1002</v>
      </c>
      <c r="E145" s="23" t="s">
        <v>286</v>
      </c>
      <c r="F145" s="103" t="s">
        <v>1325</v>
      </c>
    </row>
    <row r="146" spans="2:6" ht="30" customHeight="1" outlineLevel="2" x14ac:dyDescent="0.2">
      <c r="B146" s="11">
        <f t="shared" si="2"/>
        <v>143</v>
      </c>
      <c r="C146" s="12" t="s">
        <v>287</v>
      </c>
      <c r="D146" s="97" t="s">
        <v>1004</v>
      </c>
      <c r="E146" s="12" t="s">
        <v>288</v>
      </c>
      <c r="F146" s="97" t="s">
        <v>1325</v>
      </c>
    </row>
    <row r="147" spans="2:6" ht="30" customHeight="1" outlineLevel="3" x14ac:dyDescent="0.2">
      <c r="B147" s="13">
        <f t="shared" si="2"/>
        <v>144</v>
      </c>
      <c r="C147" s="14" t="s">
        <v>289</v>
      </c>
      <c r="D147" s="15" t="s">
        <v>1006</v>
      </c>
      <c r="E147" s="14" t="s">
        <v>290</v>
      </c>
      <c r="F147" s="15" t="s">
        <v>1325</v>
      </c>
    </row>
    <row r="148" spans="2:6" ht="30" customHeight="1" outlineLevel="3" x14ac:dyDescent="0.2">
      <c r="B148" s="13">
        <f t="shared" si="2"/>
        <v>145</v>
      </c>
      <c r="C148" s="14" t="s">
        <v>291</v>
      </c>
      <c r="D148" s="15" t="s">
        <v>1007</v>
      </c>
      <c r="E148" s="14" t="s">
        <v>292</v>
      </c>
      <c r="F148" s="15" t="s">
        <v>1325</v>
      </c>
    </row>
    <row r="149" spans="2:6" ht="30" customHeight="1" outlineLevel="3" x14ac:dyDescent="0.2">
      <c r="B149" s="13">
        <f t="shared" si="2"/>
        <v>146</v>
      </c>
      <c r="C149" s="14" t="s">
        <v>293</v>
      </c>
      <c r="D149" s="15" t="s">
        <v>1008</v>
      </c>
      <c r="E149" s="14" t="s">
        <v>294</v>
      </c>
      <c r="F149" s="15" t="s">
        <v>1325</v>
      </c>
    </row>
    <row r="150" spans="2:6" ht="30" customHeight="1" outlineLevel="3" x14ac:dyDescent="0.2">
      <c r="B150" s="13">
        <f t="shared" si="2"/>
        <v>147</v>
      </c>
      <c r="C150" s="14" t="s">
        <v>295</v>
      </c>
      <c r="D150" s="15" t="s">
        <v>1009</v>
      </c>
      <c r="E150" s="14" t="s">
        <v>296</v>
      </c>
      <c r="F150" s="15" t="s">
        <v>1325</v>
      </c>
    </row>
    <row r="151" spans="2:6" ht="30" customHeight="1" outlineLevel="3" x14ac:dyDescent="0.2">
      <c r="B151" s="13">
        <f t="shared" si="2"/>
        <v>148</v>
      </c>
      <c r="C151" s="14" t="s">
        <v>297</v>
      </c>
      <c r="D151" s="15" t="s">
        <v>1005</v>
      </c>
      <c r="E151" s="14" t="s">
        <v>298</v>
      </c>
      <c r="F151" s="15" t="s">
        <v>1325</v>
      </c>
    </row>
    <row r="152" spans="2:6" ht="30" customHeight="1" outlineLevel="3" x14ac:dyDescent="0.2">
      <c r="B152" s="13">
        <f t="shared" si="2"/>
        <v>149</v>
      </c>
      <c r="C152" s="14" t="s">
        <v>299</v>
      </c>
      <c r="D152" s="15" t="s">
        <v>1194</v>
      </c>
      <c r="E152" s="14" t="s">
        <v>300</v>
      </c>
      <c r="F152" s="15" t="s">
        <v>1325</v>
      </c>
    </row>
    <row r="153" spans="2:6" ht="30" customHeight="1" outlineLevel="2" x14ac:dyDescent="0.2">
      <c r="B153" s="11">
        <f t="shared" si="2"/>
        <v>150</v>
      </c>
      <c r="C153" s="12" t="s">
        <v>301</v>
      </c>
      <c r="D153" s="97" t="s">
        <v>998</v>
      </c>
      <c r="E153" s="17" t="s">
        <v>302</v>
      </c>
      <c r="F153" s="31" t="s">
        <v>1325</v>
      </c>
    </row>
    <row r="154" spans="2:6" ht="30" customHeight="1" outlineLevel="3" x14ac:dyDescent="0.2">
      <c r="B154" s="13">
        <f t="shared" si="2"/>
        <v>151</v>
      </c>
      <c r="C154" s="14" t="s">
        <v>303</v>
      </c>
      <c r="D154" s="15" t="s">
        <v>999</v>
      </c>
      <c r="E154" s="14" t="s">
        <v>304</v>
      </c>
      <c r="F154" s="15" t="s">
        <v>1325</v>
      </c>
    </row>
    <row r="155" spans="2:6" ht="30" customHeight="1" outlineLevel="3" x14ac:dyDescent="0.2">
      <c r="B155" s="13">
        <f t="shared" si="2"/>
        <v>152</v>
      </c>
      <c r="C155" s="14" t="s">
        <v>305</v>
      </c>
      <c r="D155" s="15" t="s">
        <v>1003</v>
      </c>
      <c r="E155" s="14" t="s">
        <v>306</v>
      </c>
      <c r="F155" s="15" t="s">
        <v>1325</v>
      </c>
    </row>
    <row r="156" spans="2:6" ht="30" customHeight="1" outlineLevel="3" x14ac:dyDescent="0.2">
      <c r="B156" s="13">
        <f t="shared" si="2"/>
        <v>153</v>
      </c>
      <c r="C156" s="14" t="s">
        <v>307</v>
      </c>
      <c r="D156" s="15" t="s">
        <v>1089</v>
      </c>
      <c r="E156" s="14" t="s">
        <v>308</v>
      </c>
      <c r="F156" s="15" t="s">
        <v>1325</v>
      </c>
    </row>
    <row r="157" spans="2:6" ht="30" customHeight="1" outlineLevel="3" x14ac:dyDescent="0.2">
      <c r="B157" s="13">
        <f t="shared" si="2"/>
        <v>154</v>
      </c>
      <c r="C157" s="14" t="s">
        <v>309</v>
      </c>
      <c r="D157" s="15" t="s">
        <v>1088</v>
      </c>
      <c r="E157" s="14" t="s">
        <v>310</v>
      </c>
      <c r="F157" s="15" t="s">
        <v>1325</v>
      </c>
    </row>
    <row r="158" spans="2:6" ht="30" customHeight="1" outlineLevel="2" x14ac:dyDescent="0.2">
      <c r="B158" s="11">
        <f t="shared" si="2"/>
        <v>155</v>
      </c>
      <c r="C158" s="12" t="s">
        <v>311</v>
      </c>
      <c r="D158" s="97" t="s">
        <v>1000</v>
      </c>
      <c r="E158" s="17" t="s">
        <v>312</v>
      </c>
      <c r="F158" s="31" t="s">
        <v>1325</v>
      </c>
    </row>
    <row r="159" spans="2:6" ht="30" customHeight="1" outlineLevel="3" x14ac:dyDescent="0.2">
      <c r="B159" s="13">
        <f t="shared" si="2"/>
        <v>156</v>
      </c>
      <c r="C159" s="14" t="s">
        <v>313</v>
      </c>
      <c r="D159" s="15" t="s">
        <v>1001</v>
      </c>
      <c r="E159" s="14" t="s">
        <v>314</v>
      </c>
      <c r="F159" s="15" t="s">
        <v>1325</v>
      </c>
    </row>
    <row r="160" spans="2:6" ht="30" customHeight="1" outlineLevel="2" x14ac:dyDescent="0.2">
      <c r="B160" s="11">
        <f t="shared" si="2"/>
        <v>157</v>
      </c>
      <c r="C160" s="12" t="s">
        <v>315</v>
      </c>
      <c r="D160" s="97" t="s">
        <v>1212</v>
      </c>
      <c r="E160" s="12" t="s">
        <v>316</v>
      </c>
      <c r="F160" s="97" t="s">
        <v>1325</v>
      </c>
    </row>
    <row r="161" spans="2:6" ht="30" customHeight="1" outlineLevel="1" x14ac:dyDescent="0.2">
      <c r="B161" s="9">
        <f t="shared" si="2"/>
        <v>158</v>
      </c>
      <c r="C161" s="10" t="s">
        <v>317</v>
      </c>
      <c r="D161" s="67" t="s">
        <v>983</v>
      </c>
      <c r="E161" s="10" t="s">
        <v>318</v>
      </c>
      <c r="F161" s="67" t="s">
        <v>1325</v>
      </c>
    </row>
    <row r="162" spans="2:6" ht="30" customHeight="1" outlineLevel="2" x14ac:dyDescent="0.2">
      <c r="B162" s="11">
        <f t="shared" si="2"/>
        <v>159</v>
      </c>
      <c r="C162" s="12" t="s">
        <v>319</v>
      </c>
      <c r="D162" s="97" t="s">
        <v>1304</v>
      </c>
      <c r="E162" s="23" t="s">
        <v>320</v>
      </c>
      <c r="F162" s="103" t="s">
        <v>1325</v>
      </c>
    </row>
    <row r="163" spans="2:6" ht="30" customHeight="1" outlineLevel="2" x14ac:dyDescent="0.2">
      <c r="B163" s="11">
        <f t="shared" si="2"/>
        <v>160</v>
      </c>
      <c r="C163" s="12" t="s">
        <v>321</v>
      </c>
      <c r="D163" s="97" t="s">
        <v>1019</v>
      </c>
      <c r="E163" s="12" t="s">
        <v>322</v>
      </c>
      <c r="F163" s="97" t="s">
        <v>1325</v>
      </c>
    </row>
    <row r="164" spans="2:6" ht="30" customHeight="1" outlineLevel="3" x14ac:dyDescent="0.2">
      <c r="B164" s="13">
        <f t="shared" si="2"/>
        <v>161</v>
      </c>
      <c r="C164" s="14" t="s">
        <v>323</v>
      </c>
      <c r="D164" s="15" t="s">
        <v>1020</v>
      </c>
      <c r="E164" s="14" t="s">
        <v>324</v>
      </c>
      <c r="F164" s="15" t="s">
        <v>1325</v>
      </c>
    </row>
    <row r="165" spans="2:6" ht="30" customHeight="1" outlineLevel="3" x14ac:dyDescent="0.2">
      <c r="B165" s="13">
        <f t="shared" si="2"/>
        <v>162</v>
      </c>
      <c r="C165" s="14" t="s">
        <v>325</v>
      </c>
      <c r="D165" s="15" t="s">
        <v>1021</v>
      </c>
      <c r="E165" s="14" t="s">
        <v>326</v>
      </c>
      <c r="F165" s="15" t="s">
        <v>1325</v>
      </c>
    </row>
    <row r="166" spans="2:6" ht="30" customHeight="1" outlineLevel="4" x14ac:dyDescent="0.2">
      <c r="B166" s="33">
        <f t="shared" si="2"/>
        <v>163</v>
      </c>
      <c r="C166" s="34" t="s">
        <v>327</v>
      </c>
      <c r="D166" s="41" t="s">
        <v>1136</v>
      </c>
      <c r="E166" s="35" t="s">
        <v>328</v>
      </c>
      <c r="F166" s="53" t="s">
        <v>1325</v>
      </c>
    </row>
    <row r="167" spans="2:6" ht="30" customHeight="1" outlineLevel="4" x14ac:dyDescent="0.2">
      <c r="B167" s="36">
        <f t="shared" si="2"/>
        <v>164</v>
      </c>
      <c r="C167" s="37" t="s">
        <v>329</v>
      </c>
      <c r="D167" s="101" t="s">
        <v>1305</v>
      </c>
      <c r="E167" s="37" t="s">
        <v>330</v>
      </c>
      <c r="F167" s="101" t="s">
        <v>1325</v>
      </c>
    </row>
    <row r="168" spans="2:6" ht="30" customHeight="1" outlineLevel="4" x14ac:dyDescent="0.2">
      <c r="B168" s="33">
        <f t="shared" si="2"/>
        <v>165</v>
      </c>
      <c r="C168" s="34" t="s">
        <v>331</v>
      </c>
      <c r="D168" s="41" t="s">
        <v>1137</v>
      </c>
      <c r="E168" s="34" t="s">
        <v>332</v>
      </c>
      <c r="F168" s="41" t="s">
        <v>1325</v>
      </c>
    </row>
    <row r="169" spans="2:6" ht="30" customHeight="1" outlineLevel="3" x14ac:dyDescent="0.2">
      <c r="B169" s="13">
        <f t="shared" si="2"/>
        <v>166</v>
      </c>
      <c r="C169" s="14" t="s">
        <v>333</v>
      </c>
      <c r="D169" s="15" t="s">
        <v>1022</v>
      </c>
      <c r="E169" s="14" t="s">
        <v>334</v>
      </c>
      <c r="F169" s="15" t="s">
        <v>1325</v>
      </c>
    </row>
    <row r="170" spans="2:6" ht="30" customHeight="1" outlineLevel="4" x14ac:dyDescent="0.2">
      <c r="B170" s="33">
        <f t="shared" si="2"/>
        <v>167</v>
      </c>
      <c r="C170" s="34" t="s">
        <v>335</v>
      </c>
      <c r="D170" s="41" t="s">
        <v>1138</v>
      </c>
      <c r="E170" s="34" t="s">
        <v>336</v>
      </c>
      <c r="F170" s="41" t="s">
        <v>1325</v>
      </c>
    </row>
    <row r="171" spans="2:6" ht="30" customHeight="1" outlineLevel="4" x14ac:dyDescent="0.2">
      <c r="B171" s="33">
        <f t="shared" si="2"/>
        <v>168</v>
      </c>
      <c r="C171" s="34" t="s">
        <v>337</v>
      </c>
      <c r="D171" s="41" t="s">
        <v>1139</v>
      </c>
      <c r="E171" s="34" t="s">
        <v>338</v>
      </c>
      <c r="F171" s="41" t="s">
        <v>1325</v>
      </c>
    </row>
    <row r="172" spans="2:6" ht="30" customHeight="1" outlineLevel="4" x14ac:dyDescent="0.2">
      <c r="B172" s="33">
        <f t="shared" si="2"/>
        <v>169</v>
      </c>
      <c r="C172" s="34" t="s">
        <v>339</v>
      </c>
      <c r="D172" s="41" t="s">
        <v>1195</v>
      </c>
      <c r="E172" s="34" t="s">
        <v>340</v>
      </c>
      <c r="F172" s="41" t="s">
        <v>1325</v>
      </c>
    </row>
    <row r="173" spans="2:6" ht="30" customHeight="1" outlineLevel="2" x14ac:dyDescent="0.2">
      <c r="B173" s="11">
        <f t="shared" si="2"/>
        <v>170</v>
      </c>
      <c r="C173" s="12" t="s">
        <v>341</v>
      </c>
      <c r="D173" s="97" t="s">
        <v>1015</v>
      </c>
      <c r="E173" s="17" t="s">
        <v>342</v>
      </c>
      <c r="F173" s="31" t="s">
        <v>1325</v>
      </c>
    </row>
    <row r="174" spans="2:6" ht="30" customHeight="1" outlineLevel="3" x14ac:dyDescent="0.2">
      <c r="B174" s="13">
        <f t="shared" si="2"/>
        <v>171</v>
      </c>
      <c r="C174" s="14" t="s">
        <v>343</v>
      </c>
      <c r="D174" s="15" t="s">
        <v>1016</v>
      </c>
      <c r="E174" s="14" t="s">
        <v>344</v>
      </c>
      <c r="F174" s="15" t="s">
        <v>1325</v>
      </c>
    </row>
    <row r="175" spans="2:6" ht="30" customHeight="1" outlineLevel="3" x14ac:dyDescent="0.2">
      <c r="B175" s="13">
        <f t="shared" si="2"/>
        <v>172</v>
      </c>
      <c r="C175" s="14" t="s">
        <v>345</v>
      </c>
      <c r="D175" s="15" t="s">
        <v>1017</v>
      </c>
      <c r="E175" s="14" t="s">
        <v>346</v>
      </c>
      <c r="F175" s="15" t="s">
        <v>1325</v>
      </c>
    </row>
    <row r="176" spans="2:6" ht="30" customHeight="1" outlineLevel="4" x14ac:dyDescent="0.2">
      <c r="B176" s="33">
        <f t="shared" si="2"/>
        <v>173</v>
      </c>
      <c r="C176" s="34" t="s">
        <v>347</v>
      </c>
      <c r="D176" s="41" t="s">
        <v>1131</v>
      </c>
      <c r="E176" s="34" t="s">
        <v>348</v>
      </c>
      <c r="F176" s="41" t="s">
        <v>1325</v>
      </c>
    </row>
    <row r="177" spans="2:6" ht="30" customHeight="1" outlineLevel="4" x14ac:dyDescent="0.2">
      <c r="B177" s="33">
        <f t="shared" si="2"/>
        <v>174</v>
      </c>
      <c r="C177" s="34" t="s">
        <v>349</v>
      </c>
      <c r="D177" s="41" t="s">
        <v>1132</v>
      </c>
      <c r="E177" s="34" t="s">
        <v>350</v>
      </c>
      <c r="F177" s="41" t="s">
        <v>1325</v>
      </c>
    </row>
    <row r="178" spans="2:6" ht="30" customHeight="1" outlineLevel="4" x14ac:dyDescent="0.2">
      <c r="B178" s="33">
        <f t="shared" si="2"/>
        <v>175</v>
      </c>
      <c r="C178" s="34" t="s">
        <v>351</v>
      </c>
      <c r="D178" s="41" t="s">
        <v>1133</v>
      </c>
      <c r="E178" s="34" t="s">
        <v>352</v>
      </c>
      <c r="F178" s="41" t="s">
        <v>1325</v>
      </c>
    </row>
    <row r="179" spans="2:6" ht="30" customHeight="1" outlineLevel="4" x14ac:dyDescent="0.2">
      <c r="B179" s="33">
        <f t="shared" si="2"/>
        <v>176</v>
      </c>
      <c r="C179" s="34" t="s">
        <v>353</v>
      </c>
      <c r="D179" s="41" t="s">
        <v>1134</v>
      </c>
      <c r="E179" s="34" t="s">
        <v>354</v>
      </c>
      <c r="F179" s="41" t="s">
        <v>1325</v>
      </c>
    </row>
    <row r="180" spans="2:6" ht="30" customHeight="1" outlineLevel="4" x14ac:dyDescent="0.2">
      <c r="B180" s="33">
        <f t="shared" si="2"/>
        <v>177</v>
      </c>
      <c r="C180" s="34" t="s">
        <v>355</v>
      </c>
      <c r="D180" s="41" t="s">
        <v>1135</v>
      </c>
      <c r="E180" s="34" t="s">
        <v>356</v>
      </c>
      <c r="F180" s="41" t="s">
        <v>1325</v>
      </c>
    </row>
    <row r="181" spans="2:6" ht="30" customHeight="1" outlineLevel="4" x14ac:dyDescent="0.2">
      <c r="B181" s="33">
        <f t="shared" si="2"/>
        <v>178</v>
      </c>
      <c r="C181" s="34" t="s">
        <v>357</v>
      </c>
      <c r="D181" s="41" t="s">
        <v>1147</v>
      </c>
      <c r="E181" s="38" t="s">
        <v>358</v>
      </c>
      <c r="F181" s="109" t="s">
        <v>1325</v>
      </c>
    </row>
    <row r="182" spans="2:6" ht="30" customHeight="1" outlineLevel="4" x14ac:dyDescent="0.2">
      <c r="B182" s="33">
        <f t="shared" si="2"/>
        <v>179</v>
      </c>
      <c r="C182" s="34" t="s">
        <v>359</v>
      </c>
      <c r="D182" s="41" t="s">
        <v>1179</v>
      </c>
      <c r="E182" s="34" t="s">
        <v>360</v>
      </c>
      <c r="F182" s="41" t="s">
        <v>1325</v>
      </c>
    </row>
    <row r="183" spans="2:6" ht="30" customHeight="1" outlineLevel="3" x14ac:dyDescent="0.2">
      <c r="B183" s="13">
        <f t="shared" si="2"/>
        <v>180</v>
      </c>
      <c r="C183" s="14" t="s">
        <v>361</v>
      </c>
      <c r="D183" s="15" t="s">
        <v>1018</v>
      </c>
      <c r="E183" s="14" t="s">
        <v>362</v>
      </c>
      <c r="F183" s="15" t="s">
        <v>1325</v>
      </c>
    </row>
    <row r="184" spans="2:6" ht="30" customHeight="1" outlineLevel="2" x14ac:dyDescent="0.2">
      <c r="B184" s="11">
        <f t="shared" si="2"/>
        <v>181</v>
      </c>
      <c r="C184" s="12" t="s">
        <v>363</v>
      </c>
      <c r="D184" s="97" t="s">
        <v>1035</v>
      </c>
      <c r="E184" s="12" t="s">
        <v>364</v>
      </c>
      <c r="F184" s="97" t="s">
        <v>1328</v>
      </c>
    </row>
    <row r="185" spans="2:6" ht="30" customHeight="1" outlineLevel="3" x14ac:dyDescent="0.2">
      <c r="B185" s="13">
        <f t="shared" si="2"/>
        <v>182</v>
      </c>
      <c r="C185" s="14" t="s">
        <v>365</v>
      </c>
      <c r="D185" s="15" t="s">
        <v>1036</v>
      </c>
      <c r="E185" s="14" t="s">
        <v>366</v>
      </c>
      <c r="F185" s="15" t="s">
        <v>1325</v>
      </c>
    </row>
    <row r="186" spans="2:6" ht="30" customHeight="1" outlineLevel="3" x14ac:dyDescent="0.2">
      <c r="B186" s="13">
        <f t="shared" si="2"/>
        <v>183</v>
      </c>
      <c r="C186" s="14" t="s">
        <v>367</v>
      </c>
      <c r="D186" s="15" t="s">
        <v>1037</v>
      </c>
      <c r="E186" s="14" t="s">
        <v>368</v>
      </c>
      <c r="F186" s="15" t="s">
        <v>1325</v>
      </c>
    </row>
    <row r="187" spans="2:6" ht="30" customHeight="1" outlineLevel="3" x14ac:dyDescent="0.2">
      <c r="B187" s="13">
        <f t="shared" si="2"/>
        <v>184</v>
      </c>
      <c r="C187" s="14" t="s">
        <v>369</v>
      </c>
      <c r="D187" s="15" t="s">
        <v>1038</v>
      </c>
      <c r="E187" s="14" t="s">
        <v>370</v>
      </c>
      <c r="F187" s="15" t="s">
        <v>1325</v>
      </c>
    </row>
    <row r="188" spans="2:6" ht="30" customHeight="1" outlineLevel="3" x14ac:dyDescent="0.2">
      <c r="B188" s="13">
        <f t="shared" si="2"/>
        <v>185</v>
      </c>
      <c r="C188" s="14" t="s">
        <v>371</v>
      </c>
      <c r="D188" s="15" t="s">
        <v>1039</v>
      </c>
      <c r="E188" s="14" t="s">
        <v>372</v>
      </c>
      <c r="F188" s="15" t="s">
        <v>1325</v>
      </c>
    </row>
    <row r="189" spans="2:6" ht="30" customHeight="1" outlineLevel="3" x14ac:dyDescent="0.2">
      <c r="B189" s="13">
        <f t="shared" si="2"/>
        <v>186</v>
      </c>
      <c r="C189" s="14" t="s">
        <v>373</v>
      </c>
      <c r="D189" s="15" t="s">
        <v>1040</v>
      </c>
      <c r="E189" s="14" t="s">
        <v>374</v>
      </c>
      <c r="F189" s="15" t="s">
        <v>1325</v>
      </c>
    </row>
    <row r="190" spans="2:6" ht="30" customHeight="1" outlineLevel="3" x14ac:dyDescent="0.2">
      <c r="B190" s="13">
        <f t="shared" si="2"/>
        <v>187</v>
      </c>
      <c r="C190" s="14" t="s">
        <v>375</v>
      </c>
      <c r="D190" s="15" t="s">
        <v>1041</v>
      </c>
      <c r="E190" s="14" t="s">
        <v>376</v>
      </c>
      <c r="F190" s="15" t="s">
        <v>1325</v>
      </c>
    </row>
    <row r="191" spans="2:6" ht="30" customHeight="1" outlineLevel="3" x14ac:dyDescent="0.2">
      <c r="B191" s="13">
        <f t="shared" si="2"/>
        <v>188</v>
      </c>
      <c r="C191" s="14" t="s">
        <v>377</v>
      </c>
      <c r="D191" s="15" t="s">
        <v>1042</v>
      </c>
      <c r="E191" s="14" t="s">
        <v>378</v>
      </c>
      <c r="F191" s="15" t="s">
        <v>1325</v>
      </c>
    </row>
    <row r="192" spans="2:6" ht="30" customHeight="1" outlineLevel="3" x14ac:dyDescent="0.2">
      <c r="B192" s="13">
        <f t="shared" si="2"/>
        <v>189</v>
      </c>
      <c r="C192" s="14" t="s">
        <v>379</v>
      </c>
      <c r="D192" s="15" t="s">
        <v>1043</v>
      </c>
      <c r="E192" s="14" t="s">
        <v>380</v>
      </c>
      <c r="F192" s="15" t="s">
        <v>1325</v>
      </c>
    </row>
    <row r="193" spans="2:6" ht="30" customHeight="1" outlineLevel="3" x14ac:dyDescent="0.2">
      <c r="B193" s="13">
        <f t="shared" si="2"/>
        <v>190</v>
      </c>
      <c r="C193" s="14" t="s">
        <v>381</v>
      </c>
      <c r="D193" s="15" t="s">
        <v>1044</v>
      </c>
      <c r="E193" s="14" t="s">
        <v>382</v>
      </c>
      <c r="F193" s="15" t="s">
        <v>1325</v>
      </c>
    </row>
    <row r="194" spans="2:6" ht="30" customHeight="1" outlineLevel="3" x14ac:dyDescent="0.2">
      <c r="B194" s="13">
        <f t="shared" si="2"/>
        <v>191</v>
      </c>
      <c r="C194" s="14" t="s">
        <v>383</v>
      </c>
      <c r="D194" s="15" t="s">
        <v>1045</v>
      </c>
      <c r="E194" s="14" t="s">
        <v>384</v>
      </c>
      <c r="F194" s="15" t="s">
        <v>1325</v>
      </c>
    </row>
    <row r="195" spans="2:6" ht="30" customHeight="1" outlineLevel="3" x14ac:dyDescent="0.2">
      <c r="B195" s="13">
        <f t="shared" si="2"/>
        <v>192</v>
      </c>
      <c r="C195" s="14" t="s">
        <v>385</v>
      </c>
      <c r="D195" s="15" t="s">
        <v>1046</v>
      </c>
      <c r="E195" s="14" t="s">
        <v>386</v>
      </c>
      <c r="F195" s="15" t="s">
        <v>1325</v>
      </c>
    </row>
    <row r="196" spans="2:6" ht="30" customHeight="1" outlineLevel="3" x14ac:dyDescent="0.2">
      <c r="B196" s="13">
        <f t="shared" si="2"/>
        <v>193</v>
      </c>
      <c r="C196" s="14" t="s">
        <v>387</v>
      </c>
      <c r="D196" s="15" t="s">
        <v>1047</v>
      </c>
      <c r="E196" s="14" t="s">
        <v>388</v>
      </c>
      <c r="F196" s="15" t="s">
        <v>1325</v>
      </c>
    </row>
    <row r="197" spans="2:6" ht="30" customHeight="1" outlineLevel="3" x14ac:dyDescent="0.2">
      <c r="B197" s="13">
        <f t="shared" si="2"/>
        <v>194</v>
      </c>
      <c r="C197" s="14" t="s">
        <v>389</v>
      </c>
      <c r="D197" s="15" t="s">
        <v>1048</v>
      </c>
      <c r="E197" s="14" t="s">
        <v>390</v>
      </c>
      <c r="F197" s="15" t="s">
        <v>1325</v>
      </c>
    </row>
    <row r="198" spans="2:6" ht="30" customHeight="1" outlineLevel="3" x14ac:dyDescent="0.2">
      <c r="B198" s="13">
        <f t="shared" ref="B198:B261" si="3">B197+1</f>
        <v>195</v>
      </c>
      <c r="C198" s="14" t="s">
        <v>391</v>
      </c>
      <c r="D198" s="15" t="s">
        <v>1049</v>
      </c>
      <c r="E198" s="14" t="s">
        <v>392</v>
      </c>
      <c r="F198" s="15" t="s">
        <v>1325</v>
      </c>
    </row>
    <row r="199" spans="2:6" ht="30" customHeight="1" outlineLevel="3" x14ac:dyDescent="0.2">
      <c r="B199" s="13">
        <f t="shared" si="3"/>
        <v>196</v>
      </c>
      <c r="C199" s="14" t="s">
        <v>393</v>
      </c>
      <c r="D199" s="15" t="s">
        <v>1050</v>
      </c>
      <c r="E199" s="14" t="s">
        <v>394</v>
      </c>
      <c r="F199" s="15" t="s">
        <v>1325</v>
      </c>
    </row>
    <row r="200" spans="2:6" ht="30" customHeight="1" outlineLevel="3" x14ac:dyDescent="0.2">
      <c r="B200" s="13">
        <f t="shared" si="3"/>
        <v>197</v>
      </c>
      <c r="C200" s="14" t="s">
        <v>395</v>
      </c>
      <c r="D200" s="15" t="s">
        <v>1051</v>
      </c>
      <c r="E200" s="14" t="s">
        <v>396</v>
      </c>
      <c r="F200" s="15" t="s">
        <v>1325</v>
      </c>
    </row>
    <row r="201" spans="2:6" ht="30" customHeight="1" outlineLevel="3" x14ac:dyDescent="0.2">
      <c r="B201" s="13">
        <f t="shared" si="3"/>
        <v>198</v>
      </c>
      <c r="C201" s="14" t="s">
        <v>397</v>
      </c>
      <c r="D201" s="15" t="s">
        <v>1052</v>
      </c>
      <c r="E201" s="14" t="s">
        <v>398</v>
      </c>
      <c r="F201" s="15" t="s">
        <v>1325</v>
      </c>
    </row>
    <row r="202" spans="2:6" ht="30" customHeight="1" outlineLevel="3" x14ac:dyDescent="0.2">
      <c r="B202" s="13">
        <f t="shared" si="3"/>
        <v>199</v>
      </c>
      <c r="C202" s="14" t="s">
        <v>399</v>
      </c>
      <c r="D202" s="15" t="s">
        <v>1053</v>
      </c>
      <c r="E202" s="14" t="s">
        <v>400</v>
      </c>
      <c r="F202" s="15" t="s">
        <v>1325</v>
      </c>
    </row>
    <row r="203" spans="2:6" ht="30" customHeight="1" outlineLevel="3" x14ac:dyDescent="0.2">
      <c r="B203" s="13">
        <f t="shared" si="3"/>
        <v>200</v>
      </c>
      <c r="C203" s="14" t="s">
        <v>401</v>
      </c>
      <c r="D203" s="15" t="s">
        <v>1054</v>
      </c>
      <c r="E203" s="14" t="s">
        <v>402</v>
      </c>
      <c r="F203" s="15" t="s">
        <v>1325</v>
      </c>
    </row>
    <row r="204" spans="2:6" ht="30" customHeight="1" outlineLevel="3" x14ac:dyDescent="0.2">
      <c r="B204" s="13">
        <f t="shared" si="3"/>
        <v>201</v>
      </c>
      <c r="C204" s="14" t="s">
        <v>403</v>
      </c>
      <c r="D204" s="15" t="s">
        <v>1057</v>
      </c>
      <c r="E204" s="14" t="s">
        <v>404</v>
      </c>
      <c r="F204" s="15" t="s">
        <v>1325</v>
      </c>
    </row>
    <row r="205" spans="2:6" ht="30" customHeight="1" outlineLevel="3" x14ac:dyDescent="0.2">
      <c r="B205" s="13">
        <f t="shared" si="3"/>
        <v>202</v>
      </c>
      <c r="C205" s="14" t="s">
        <v>405</v>
      </c>
      <c r="D205" s="15" t="s">
        <v>1150</v>
      </c>
      <c r="E205" s="39" t="s">
        <v>406</v>
      </c>
      <c r="F205" s="15" t="s">
        <v>1325</v>
      </c>
    </row>
    <row r="206" spans="2:6" ht="30" customHeight="1" outlineLevel="3" x14ac:dyDescent="0.2">
      <c r="B206" s="13">
        <f t="shared" si="3"/>
        <v>203</v>
      </c>
      <c r="C206" s="14" t="s">
        <v>407</v>
      </c>
      <c r="D206" s="15" t="s">
        <v>1180</v>
      </c>
      <c r="E206" s="39" t="s">
        <v>408</v>
      </c>
      <c r="F206" s="15" t="s">
        <v>1325</v>
      </c>
    </row>
    <row r="207" spans="2:6" ht="30" customHeight="1" outlineLevel="3" x14ac:dyDescent="0.2">
      <c r="B207" s="13">
        <f t="shared" si="3"/>
        <v>204</v>
      </c>
      <c r="C207" s="14" t="s">
        <v>409</v>
      </c>
      <c r="D207" s="15" t="s">
        <v>1181</v>
      </c>
      <c r="E207" s="39" t="s">
        <v>410</v>
      </c>
      <c r="F207" s="15" t="s">
        <v>1325</v>
      </c>
    </row>
    <row r="208" spans="2:6" ht="30" customHeight="1" outlineLevel="3" x14ac:dyDescent="0.2">
      <c r="B208" s="13">
        <f t="shared" si="3"/>
        <v>205</v>
      </c>
      <c r="C208" s="14" t="s">
        <v>411</v>
      </c>
      <c r="D208" s="15" t="s">
        <v>1148</v>
      </c>
      <c r="E208" s="14" t="s">
        <v>412</v>
      </c>
      <c r="F208" s="15" t="s">
        <v>1325</v>
      </c>
    </row>
    <row r="209" spans="2:6" ht="30" customHeight="1" outlineLevel="2" x14ac:dyDescent="0.2">
      <c r="B209" s="11">
        <f t="shared" si="3"/>
        <v>206</v>
      </c>
      <c r="C209" s="12" t="s">
        <v>413</v>
      </c>
      <c r="D209" s="97" t="s">
        <v>1306</v>
      </c>
      <c r="E209" s="17" t="s">
        <v>414</v>
      </c>
      <c r="F209" s="31" t="s">
        <v>1325</v>
      </c>
    </row>
    <row r="210" spans="2:6" ht="30" customHeight="1" outlineLevel="2" x14ac:dyDescent="0.2">
      <c r="B210" s="11">
        <f t="shared" si="3"/>
        <v>207</v>
      </c>
      <c r="C210" s="12" t="s">
        <v>415</v>
      </c>
      <c r="D210" s="97" t="s">
        <v>984</v>
      </c>
      <c r="E210" s="12" t="s">
        <v>416</v>
      </c>
      <c r="F210" s="97" t="s">
        <v>1329</v>
      </c>
    </row>
    <row r="211" spans="2:6" ht="30" customHeight="1" outlineLevel="3" x14ac:dyDescent="0.2">
      <c r="B211" s="13">
        <f t="shared" si="3"/>
        <v>208</v>
      </c>
      <c r="C211" s="14" t="s">
        <v>417</v>
      </c>
      <c r="D211" s="15" t="s">
        <v>985</v>
      </c>
      <c r="E211" s="14" t="s">
        <v>418</v>
      </c>
      <c r="F211" s="15" t="s">
        <v>1329</v>
      </c>
    </row>
    <row r="212" spans="2:6" ht="30" customHeight="1" outlineLevel="3" x14ac:dyDescent="0.2">
      <c r="B212" s="13">
        <f t="shared" si="3"/>
        <v>209</v>
      </c>
      <c r="C212" s="14" t="s">
        <v>419</v>
      </c>
      <c r="D212" s="15" t="s">
        <v>986</v>
      </c>
      <c r="E212" s="14" t="s">
        <v>420</v>
      </c>
      <c r="F212" s="15" t="s">
        <v>1329</v>
      </c>
    </row>
    <row r="213" spans="2:6" ht="30" customHeight="1" outlineLevel="3" x14ac:dyDescent="0.2">
      <c r="B213" s="13">
        <f t="shared" si="3"/>
        <v>210</v>
      </c>
      <c r="C213" s="14" t="s">
        <v>421</v>
      </c>
      <c r="D213" s="15" t="s">
        <v>987</v>
      </c>
      <c r="E213" s="14" t="s">
        <v>422</v>
      </c>
      <c r="F213" s="15" t="s">
        <v>1329</v>
      </c>
    </row>
    <row r="214" spans="2:6" ht="30" customHeight="1" outlineLevel="3" x14ac:dyDescent="0.2">
      <c r="B214" s="13">
        <f t="shared" si="3"/>
        <v>211</v>
      </c>
      <c r="C214" s="14" t="s">
        <v>423</v>
      </c>
      <c r="D214" s="15" t="s">
        <v>988</v>
      </c>
      <c r="E214" s="14" t="s">
        <v>424</v>
      </c>
      <c r="F214" s="15" t="s">
        <v>1329</v>
      </c>
    </row>
    <row r="215" spans="2:6" ht="30" customHeight="1" outlineLevel="3" x14ac:dyDescent="0.2">
      <c r="B215" s="13">
        <f t="shared" si="3"/>
        <v>212</v>
      </c>
      <c r="C215" s="14" t="s">
        <v>425</v>
      </c>
      <c r="D215" s="15" t="s">
        <v>989</v>
      </c>
      <c r="E215" s="14" t="s">
        <v>426</v>
      </c>
      <c r="F215" s="15" t="s">
        <v>1329</v>
      </c>
    </row>
    <row r="216" spans="2:6" ht="30" customHeight="1" outlineLevel="3" x14ac:dyDescent="0.2">
      <c r="B216" s="13">
        <f t="shared" si="3"/>
        <v>213</v>
      </c>
      <c r="C216" s="14" t="s">
        <v>427</v>
      </c>
      <c r="D216" s="15" t="s">
        <v>990</v>
      </c>
      <c r="E216" s="14" t="s">
        <v>428</v>
      </c>
      <c r="F216" s="15" t="s">
        <v>1329</v>
      </c>
    </row>
    <row r="217" spans="2:6" ht="30" customHeight="1" outlineLevel="3" x14ac:dyDescent="0.2">
      <c r="B217" s="13">
        <f t="shared" si="3"/>
        <v>214</v>
      </c>
      <c r="C217" s="14" t="s">
        <v>429</v>
      </c>
      <c r="D217" s="15" t="s">
        <v>991</v>
      </c>
      <c r="E217" s="14" t="s">
        <v>430</v>
      </c>
      <c r="F217" s="15" t="s">
        <v>1329</v>
      </c>
    </row>
    <row r="218" spans="2:6" ht="30" customHeight="1" outlineLevel="3" x14ac:dyDescent="0.2">
      <c r="B218" s="13">
        <f t="shared" si="3"/>
        <v>215</v>
      </c>
      <c r="C218" s="14" t="s">
        <v>431</v>
      </c>
      <c r="D218" s="15" t="s">
        <v>992</v>
      </c>
      <c r="E218" s="14" t="s">
        <v>432</v>
      </c>
      <c r="F218" s="15" t="s">
        <v>1329</v>
      </c>
    </row>
    <row r="219" spans="2:6" ht="30" customHeight="1" outlineLevel="3" x14ac:dyDescent="0.2">
      <c r="B219" s="13">
        <f t="shared" si="3"/>
        <v>216</v>
      </c>
      <c r="C219" s="14" t="s">
        <v>433</v>
      </c>
      <c r="D219" s="15" t="s">
        <v>993</v>
      </c>
      <c r="E219" s="14" t="s">
        <v>434</v>
      </c>
      <c r="F219" s="15" t="s">
        <v>1329</v>
      </c>
    </row>
    <row r="220" spans="2:6" ht="30" customHeight="1" outlineLevel="3" x14ac:dyDescent="0.2">
      <c r="B220" s="13">
        <f t="shared" si="3"/>
        <v>217</v>
      </c>
      <c r="C220" s="14" t="s">
        <v>435</v>
      </c>
      <c r="D220" s="15" t="s">
        <v>994</v>
      </c>
      <c r="E220" s="14" t="s">
        <v>436</v>
      </c>
      <c r="F220" s="15" t="s">
        <v>1329</v>
      </c>
    </row>
    <row r="221" spans="2:6" ht="30" customHeight="1" outlineLevel="3" x14ac:dyDescent="0.2">
      <c r="B221" s="13">
        <f t="shared" si="3"/>
        <v>218</v>
      </c>
      <c r="C221" s="14" t="s">
        <v>437</v>
      </c>
      <c r="D221" s="15" t="s">
        <v>995</v>
      </c>
      <c r="E221" s="14" t="s">
        <v>438</v>
      </c>
      <c r="F221" s="15" t="s">
        <v>1329</v>
      </c>
    </row>
    <row r="222" spans="2:6" ht="30" customHeight="1" outlineLevel="3" x14ac:dyDescent="0.2">
      <c r="B222" s="13">
        <f t="shared" si="3"/>
        <v>219</v>
      </c>
      <c r="C222" s="14" t="s">
        <v>439</v>
      </c>
      <c r="D222" s="15" t="s">
        <v>996</v>
      </c>
      <c r="E222" s="14" t="s">
        <v>440</v>
      </c>
      <c r="F222" s="15" t="s">
        <v>1329</v>
      </c>
    </row>
    <row r="223" spans="2:6" ht="30" customHeight="1" outlineLevel="3" x14ac:dyDescent="0.2">
      <c r="B223" s="13">
        <f t="shared" si="3"/>
        <v>220</v>
      </c>
      <c r="C223" s="14" t="s">
        <v>441</v>
      </c>
      <c r="D223" s="15" t="s">
        <v>1087</v>
      </c>
      <c r="E223" s="40" t="s">
        <v>442</v>
      </c>
      <c r="F223" s="106" t="s">
        <v>1329</v>
      </c>
    </row>
    <row r="224" spans="2:6" ht="30" customHeight="1" outlineLevel="3" x14ac:dyDescent="0.2">
      <c r="B224" s="13">
        <f t="shared" si="3"/>
        <v>221</v>
      </c>
      <c r="C224" s="14" t="s">
        <v>443</v>
      </c>
      <c r="D224" s="15" t="s">
        <v>1188</v>
      </c>
      <c r="E224" s="40" t="s">
        <v>444</v>
      </c>
      <c r="F224" s="106" t="s">
        <v>1329</v>
      </c>
    </row>
    <row r="225" spans="2:6" ht="30" customHeight="1" outlineLevel="3" x14ac:dyDescent="0.2">
      <c r="B225" s="13">
        <f t="shared" si="3"/>
        <v>222</v>
      </c>
      <c r="C225" s="14" t="s">
        <v>445</v>
      </c>
      <c r="D225" s="15" t="s">
        <v>1189</v>
      </c>
      <c r="E225" s="40" t="s">
        <v>446</v>
      </c>
      <c r="F225" s="106" t="s">
        <v>1329</v>
      </c>
    </row>
    <row r="226" spans="2:6" ht="30" customHeight="1" outlineLevel="3" x14ac:dyDescent="0.2">
      <c r="B226" s="13">
        <f t="shared" si="3"/>
        <v>223</v>
      </c>
      <c r="C226" s="14" t="s">
        <v>447</v>
      </c>
      <c r="D226" s="15" t="s">
        <v>1190</v>
      </c>
      <c r="E226" s="40" t="s">
        <v>448</v>
      </c>
      <c r="F226" s="106" t="s">
        <v>1329</v>
      </c>
    </row>
    <row r="227" spans="2:6" ht="30" customHeight="1" outlineLevel="3" x14ac:dyDescent="0.2">
      <c r="B227" s="13">
        <f t="shared" si="3"/>
        <v>224</v>
      </c>
      <c r="C227" s="14" t="s">
        <v>449</v>
      </c>
      <c r="D227" s="15" t="s">
        <v>1208</v>
      </c>
      <c r="E227" s="40" t="s">
        <v>450</v>
      </c>
      <c r="F227" s="106" t="s">
        <v>1329</v>
      </c>
    </row>
    <row r="228" spans="2:6" ht="30" customHeight="1" outlineLevel="3" x14ac:dyDescent="0.2">
      <c r="B228" s="13">
        <f t="shared" si="3"/>
        <v>225</v>
      </c>
      <c r="C228" s="14" t="s">
        <v>451</v>
      </c>
      <c r="D228" s="15" t="s">
        <v>1224</v>
      </c>
      <c r="E228" s="40" t="s">
        <v>452</v>
      </c>
      <c r="F228" s="106" t="s">
        <v>1329</v>
      </c>
    </row>
    <row r="229" spans="2:6" ht="30" customHeight="1" outlineLevel="2" x14ac:dyDescent="0.2">
      <c r="B229" s="11">
        <f t="shared" si="3"/>
        <v>226</v>
      </c>
      <c r="C229" s="12" t="s">
        <v>453</v>
      </c>
      <c r="D229" s="97" t="s">
        <v>1011</v>
      </c>
      <c r="E229" s="12" t="s">
        <v>454</v>
      </c>
      <c r="F229" s="97" t="s">
        <v>1325</v>
      </c>
    </row>
    <row r="230" spans="2:6" ht="30" customHeight="1" outlineLevel="3" x14ac:dyDescent="0.2">
      <c r="B230" s="13">
        <f t="shared" si="3"/>
        <v>227</v>
      </c>
      <c r="C230" s="14" t="s">
        <v>455</v>
      </c>
      <c r="D230" s="15" t="s">
        <v>1012</v>
      </c>
      <c r="E230" s="14" t="s">
        <v>456</v>
      </c>
      <c r="F230" s="15" t="s">
        <v>1325</v>
      </c>
    </row>
    <row r="231" spans="2:6" ht="30" customHeight="1" outlineLevel="4" x14ac:dyDescent="0.2">
      <c r="B231" s="33">
        <f t="shared" si="3"/>
        <v>228</v>
      </c>
      <c r="C231" s="34" t="s">
        <v>457</v>
      </c>
      <c r="D231" s="41" t="s">
        <v>1108</v>
      </c>
      <c r="E231" s="34" t="s">
        <v>458</v>
      </c>
      <c r="F231" s="41" t="s">
        <v>1325</v>
      </c>
    </row>
    <row r="232" spans="2:6" ht="30" customHeight="1" outlineLevel="4" x14ac:dyDescent="0.2">
      <c r="B232" s="33">
        <f t="shared" si="3"/>
        <v>229</v>
      </c>
      <c r="C232" s="34" t="s">
        <v>459</v>
      </c>
      <c r="D232" s="41" t="s">
        <v>1109</v>
      </c>
      <c r="E232" s="41" t="s">
        <v>460</v>
      </c>
      <c r="F232" s="41" t="s">
        <v>1325</v>
      </c>
    </row>
    <row r="233" spans="2:6" ht="30" customHeight="1" outlineLevel="4" x14ac:dyDescent="0.2">
      <c r="B233" s="33">
        <f t="shared" si="3"/>
        <v>230</v>
      </c>
      <c r="C233" s="34" t="s">
        <v>461</v>
      </c>
      <c r="D233" s="41" t="s">
        <v>1110</v>
      </c>
      <c r="E233" s="41" t="s">
        <v>462</v>
      </c>
      <c r="F233" s="41" t="s">
        <v>1325</v>
      </c>
    </row>
    <row r="234" spans="2:6" ht="30" customHeight="1" outlineLevel="4" x14ac:dyDescent="0.2">
      <c r="B234" s="33">
        <f t="shared" si="3"/>
        <v>231</v>
      </c>
      <c r="C234" s="34" t="s">
        <v>463</v>
      </c>
      <c r="D234" s="41" t="s">
        <v>1111</v>
      </c>
      <c r="E234" s="34" t="s">
        <v>464</v>
      </c>
      <c r="F234" s="41" t="s">
        <v>1325</v>
      </c>
    </row>
    <row r="235" spans="2:6" ht="30" customHeight="1" outlineLevel="4" x14ac:dyDescent="0.2">
      <c r="B235" s="33">
        <f t="shared" si="3"/>
        <v>232</v>
      </c>
      <c r="C235" s="34" t="s">
        <v>465</v>
      </c>
      <c r="D235" s="41" t="s">
        <v>1112</v>
      </c>
      <c r="E235" s="34" t="s">
        <v>466</v>
      </c>
      <c r="F235" s="41" t="s">
        <v>1325</v>
      </c>
    </row>
    <row r="236" spans="2:6" ht="30" customHeight="1" outlineLevel="4" x14ac:dyDescent="0.2">
      <c r="B236" s="33">
        <f t="shared" si="3"/>
        <v>233</v>
      </c>
      <c r="C236" s="34" t="s">
        <v>467</v>
      </c>
      <c r="D236" s="41" t="s">
        <v>1113</v>
      </c>
      <c r="E236" s="34" t="s">
        <v>468</v>
      </c>
      <c r="F236" s="41" t="s">
        <v>1325</v>
      </c>
    </row>
    <row r="237" spans="2:6" ht="30" customHeight="1" outlineLevel="4" x14ac:dyDescent="0.2">
      <c r="B237" s="33">
        <f t="shared" si="3"/>
        <v>234</v>
      </c>
      <c r="C237" s="34" t="s">
        <v>469</v>
      </c>
      <c r="D237" s="41" t="s">
        <v>1114</v>
      </c>
      <c r="E237" s="34" t="s">
        <v>470</v>
      </c>
      <c r="F237" s="41" t="s">
        <v>1325</v>
      </c>
    </row>
    <row r="238" spans="2:6" ht="30" customHeight="1" outlineLevel="3" x14ac:dyDescent="0.2">
      <c r="B238" s="13">
        <f t="shared" si="3"/>
        <v>235</v>
      </c>
      <c r="C238" s="14" t="s">
        <v>471</v>
      </c>
      <c r="D238" s="15" t="s">
        <v>1013</v>
      </c>
      <c r="E238" s="14" t="s">
        <v>472</v>
      </c>
      <c r="F238" s="15" t="s">
        <v>1325</v>
      </c>
    </row>
    <row r="239" spans="2:6" ht="30" customHeight="1" outlineLevel="4" x14ac:dyDescent="0.2">
      <c r="B239" s="33">
        <f t="shared" si="3"/>
        <v>236</v>
      </c>
      <c r="C239" s="34" t="s">
        <v>473</v>
      </c>
      <c r="D239" s="41" t="s">
        <v>1115</v>
      </c>
      <c r="E239" s="34" t="s">
        <v>474</v>
      </c>
      <c r="F239" s="41" t="s">
        <v>1325</v>
      </c>
    </row>
    <row r="240" spans="2:6" ht="30" customHeight="1" outlineLevel="4" x14ac:dyDescent="0.2">
      <c r="B240" s="33">
        <f t="shared" si="3"/>
        <v>237</v>
      </c>
      <c r="C240" s="34" t="s">
        <v>475</v>
      </c>
      <c r="D240" s="41" t="s">
        <v>1116</v>
      </c>
      <c r="E240" s="34" t="s">
        <v>476</v>
      </c>
      <c r="F240" s="41" t="s">
        <v>1325</v>
      </c>
    </row>
    <row r="241" spans="2:6" ht="30" customHeight="1" outlineLevel="4" x14ac:dyDescent="0.2">
      <c r="B241" s="33">
        <f t="shared" si="3"/>
        <v>238</v>
      </c>
      <c r="C241" s="34" t="s">
        <v>477</v>
      </c>
      <c r="D241" s="41" t="s">
        <v>1117</v>
      </c>
      <c r="E241" s="34" t="s">
        <v>478</v>
      </c>
      <c r="F241" s="41" t="s">
        <v>1325</v>
      </c>
    </row>
    <row r="242" spans="2:6" ht="30" customHeight="1" outlineLevel="4" x14ac:dyDescent="0.2">
      <c r="B242" s="33">
        <f t="shared" si="3"/>
        <v>239</v>
      </c>
      <c r="C242" s="34" t="s">
        <v>479</v>
      </c>
      <c r="D242" s="41" t="s">
        <v>1118</v>
      </c>
      <c r="E242" s="34" t="s">
        <v>480</v>
      </c>
      <c r="F242" s="41" t="s">
        <v>1325</v>
      </c>
    </row>
    <row r="243" spans="2:6" ht="30" customHeight="1" outlineLevel="4" x14ac:dyDescent="0.2">
      <c r="B243" s="33">
        <f t="shared" si="3"/>
        <v>240</v>
      </c>
      <c r="C243" s="34" t="s">
        <v>481</v>
      </c>
      <c r="D243" s="41" t="s">
        <v>1119</v>
      </c>
      <c r="E243" s="34" t="s">
        <v>482</v>
      </c>
      <c r="F243" s="41" t="s">
        <v>1325</v>
      </c>
    </row>
    <row r="244" spans="2:6" ht="30" customHeight="1" outlineLevel="4" x14ac:dyDescent="0.2">
      <c r="B244" s="33">
        <f t="shared" si="3"/>
        <v>241</v>
      </c>
      <c r="C244" s="34" t="s">
        <v>483</v>
      </c>
      <c r="D244" s="41" t="s">
        <v>1120</v>
      </c>
      <c r="E244" s="34" t="s">
        <v>484</v>
      </c>
      <c r="F244" s="41" t="s">
        <v>1325</v>
      </c>
    </row>
    <row r="245" spans="2:6" ht="30" customHeight="1" outlineLevel="4" x14ac:dyDescent="0.2">
      <c r="B245" s="33">
        <f t="shared" si="3"/>
        <v>242</v>
      </c>
      <c r="C245" s="34" t="s">
        <v>485</v>
      </c>
      <c r="D245" s="41" t="s">
        <v>1121</v>
      </c>
      <c r="E245" s="34" t="s">
        <v>486</v>
      </c>
      <c r="F245" s="41" t="s">
        <v>1325</v>
      </c>
    </row>
    <row r="246" spans="2:6" ht="30" customHeight="1" outlineLevel="4" x14ac:dyDescent="0.2">
      <c r="B246" s="33">
        <f t="shared" si="3"/>
        <v>243</v>
      </c>
      <c r="C246" s="34" t="s">
        <v>487</v>
      </c>
      <c r="D246" s="41" t="s">
        <v>1122</v>
      </c>
      <c r="E246" s="34" t="s">
        <v>488</v>
      </c>
      <c r="F246" s="41" t="s">
        <v>1325</v>
      </c>
    </row>
    <row r="247" spans="2:6" ht="30" customHeight="1" outlineLevel="4" x14ac:dyDescent="0.2">
      <c r="B247" s="33">
        <f t="shared" si="3"/>
        <v>244</v>
      </c>
      <c r="C247" s="34" t="s">
        <v>489</v>
      </c>
      <c r="D247" s="41" t="s">
        <v>1123</v>
      </c>
      <c r="E247" s="34" t="s">
        <v>490</v>
      </c>
      <c r="F247" s="41" t="s">
        <v>1325</v>
      </c>
    </row>
    <row r="248" spans="2:6" ht="30" customHeight="1" outlineLevel="4" x14ac:dyDescent="0.2">
      <c r="B248" s="33">
        <f t="shared" si="3"/>
        <v>245</v>
      </c>
      <c r="C248" s="34" t="s">
        <v>491</v>
      </c>
      <c r="D248" s="41" t="s">
        <v>1124</v>
      </c>
      <c r="E248" s="34" t="s">
        <v>492</v>
      </c>
      <c r="F248" s="41" t="s">
        <v>1325</v>
      </c>
    </row>
    <row r="249" spans="2:6" ht="30" customHeight="1" outlineLevel="4" x14ac:dyDescent="0.2">
      <c r="B249" s="33">
        <f t="shared" si="3"/>
        <v>246</v>
      </c>
      <c r="C249" s="34" t="s">
        <v>493</v>
      </c>
      <c r="D249" s="41" t="s">
        <v>1125</v>
      </c>
      <c r="E249" s="34" t="s">
        <v>494</v>
      </c>
      <c r="F249" s="41" t="s">
        <v>1325</v>
      </c>
    </row>
    <row r="250" spans="2:6" ht="30" customHeight="1" outlineLevel="4" x14ac:dyDescent="0.2">
      <c r="B250" s="33">
        <f t="shared" si="3"/>
        <v>247</v>
      </c>
      <c r="C250" s="34" t="s">
        <v>495</v>
      </c>
      <c r="D250" s="41" t="s">
        <v>1126</v>
      </c>
      <c r="E250" s="34" t="s">
        <v>496</v>
      </c>
      <c r="F250" s="41" t="s">
        <v>1325</v>
      </c>
    </row>
    <row r="251" spans="2:6" ht="30" customHeight="1" outlineLevel="4" x14ac:dyDescent="0.2">
      <c r="B251" s="33">
        <f t="shared" si="3"/>
        <v>248</v>
      </c>
      <c r="C251" s="34" t="s">
        <v>497</v>
      </c>
      <c r="D251" s="41" t="s">
        <v>1127</v>
      </c>
      <c r="E251" s="34" t="s">
        <v>498</v>
      </c>
      <c r="F251" s="41" t="s">
        <v>1325</v>
      </c>
    </row>
    <row r="252" spans="2:6" ht="30" customHeight="1" outlineLevel="4" x14ac:dyDescent="0.2">
      <c r="B252" s="33">
        <f t="shared" si="3"/>
        <v>249</v>
      </c>
      <c r="C252" s="34" t="s">
        <v>499</v>
      </c>
      <c r="D252" s="41" t="s">
        <v>1144</v>
      </c>
      <c r="E252" s="34" t="s">
        <v>500</v>
      </c>
      <c r="F252" s="41" t="s">
        <v>1325</v>
      </c>
    </row>
    <row r="253" spans="2:6" ht="30" customHeight="1" outlineLevel="4" x14ac:dyDescent="0.2">
      <c r="B253" s="33">
        <f t="shared" si="3"/>
        <v>250</v>
      </c>
      <c r="C253" s="34" t="s">
        <v>501</v>
      </c>
      <c r="D253" s="41" t="s">
        <v>1171</v>
      </c>
      <c r="E253" s="41" t="s">
        <v>502</v>
      </c>
      <c r="F253" s="41" t="s">
        <v>1325</v>
      </c>
    </row>
    <row r="254" spans="2:6" ht="30" customHeight="1" outlineLevel="4" x14ac:dyDescent="0.2">
      <c r="B254" s="33">
        <f t="shared" si="3"/>
        <v>251</v>
      </c>
      <c r="C254" s="34" t="s">
        <v>503</v>
      </c>
      <c r="D254" s="41" t="s">
        <v>1172</v>
      </c>
      <c r="E254" s="41" t="s">
        <v>504</v>
      </c>
      <c r="F254" s="41" t="s">
        <v>1325</v>
      </c>
    </row>
    <row r="255" spans="2:6" ht="30" customHeight="1" outlineLevel="4" x14ac:dyDescent="0.2">
      <c r="B255" s="33">
        <f t="shared" si="3"/>
        <v>252</v>
      </c>
      <c r="C255" s="34" t="s">
        <v>505</v>
      </c>
      <c r="D255" s="41" t="s">
        <v>1170</v>
      </c>
      <c r="E255" s="41" t="s">
        <v>506</v>
      </c>
      <c r="F255" s="41" t="s">
        <v>1325</v>
      </c>
    </row>
    <row r="256" spans="2:6" ht="30" customHeight="1" outlineLevel="3" x14ac:dyDescent="0.2">
      <c r="B256" s="13">
        <f>B255+1</f>
        <v>253</v>
      </c>
      <c r="C256" s="14" t="s">
        <v>507</v>
      </c>
      <c r="D256" s="15" t="s">
        <v>1014</v>
      </c>
      <c r="E256" s="14" t="s">
        <v>508</v>
      </c>
      <c r="F256" s="15" t="s">
        <v>1325</v>
      </c>
    </row>
    <row r="257" spans="2:6" ht="30" customHeight="1" outlineLevel="4" x14ac:dyDescent="0.2">
      <c r="B257" s="33">
        <f t="shared" si="3"/>
        <v>254</v>
      </c>
      <c r="C257" s="34" t="s">
        <v>509</v>
      </c>
      <c r="D257" s="41" t="s">
        <v>1128</v>
      </c>
      <c r="E257" s="34" t="s">
        <v>510</v>
      </c>
      <c r="F257" s="41" t="s">
        <v>1325</v>
      </c>
    </row>
    <row r="258" spans="2:6" ht="30" customHeight="1" outlineLevel="4" x14ac:dyDescent="0.2">
      <c r="B258" s="33">
        <f t="shared" si="3"/>
        <v>255</v>
      </c>
      <c r="C258" s="34" t="s">
        <v>511</v>
      </c>
      <c r="D258" s="41" t="s">
        <v>1129</v>
      </c>
      <c r="E258" s="34" t="s">
        <v>512</v>
      </c>
      <c r="F258" s="41" t="s">
        <v>1325</v>
      </c>
    </row>
    <row r="259" spans="2:6" ht="30" customHeight="1" outlineLevel="4" x14ac:dyDescent="0.2">
      <c r="B259" s="33">
        <f t="shared" si="3"/>
        <v>256</v>
      </c>
      <c r="C259" s="34" t="s">
        <v>513</v>
      </c>
      <c r="D259" s="41" t="s">
        <v>1130</v>
      </c>
      <c r="E259" s="34" t="s">
        <v>514</v>
      </c>
      <c r="F259" s="41" t="s">
        <v>1325</v>
      </c>
    </row>
    <row r="260" spans="2:6" ht="30" customHeight="1" outlineLevel="4" x14ac:dyDescent="0.2">
      <c r="B260" s="33">
        <f t="shared" si="3"/>
        <v>257</v>
      </c>
      <c r="C260" s="34" t="s">
        <v>515</v>
      </c>
      <c r="D260" s="41" t="s">
        <v>1143</v>
      </c>
      <c r="E260" s="34" t="s">
        <v>516</v>
      </c>
      <c r="F260" s="41" t="s">
        <v>1325</v>
      </c>
    </row>
    <row r="261" spans="2:6" ht="30" customHeight="1" outlineLevel="4" x14ac:dyDescent="0.2">
      <c r="B261" s="33">
        <f t="shared" si="3"/>
        <v>258</v>
      </c>
      <c r="C261" s="34" t="s">
        <v>517</v>
      </c>
      <c r="D261" s="41" t="s">
        <v>1145</v>
      </c>
      <c r="E261" s="34" t="s">
        <v>518</v>
      </c>
      <c r="F261" s="41" t="s">
        <v>1325</v>
      </c>
    </row>
    <row r="262" spans="2:6" ht="30" customHeight="1" outlineLevel="4" x14ac:dyDescent="0.2">
      <c r="B262" s="33">
        <f t="shared" ref="B262:B325" si="4">B261+1</f>
        <v>259</v>
      </c>
      <c r="C262" s="34" t="s">
        <v>519</v>
      </c>
      <c r="D262" s="41" t="s">
        <v>1146</v>
      </c>
      <c r="E262" s="34" t="s">
        <v>520</v>
      </c>
      <c r="F262" s="41" t="s">
        <v>1325</v>
      </c>
    </row>
    <row r="263" spans="2:6" ht="30" customHeight="1" outlineLevel="4" x14ac:dyDescent="0.2">
      <c r="B263" s="33">
        <f t="shared" si="4"/>
        <v>260</v>
      </c>
      <c r="C263" s="34" t="s">
        <v>521</v>
      </c>
      <c r="D263" s="41" t="s">
        <v>1173</v>
      </c>
      <c r="E263" s="34" t="s">
        <v>522</v>
      </c>
      <c r="F263" s="41" t="s">
        <v>1325</v>
      </c>
    </row>
    <row r="264" spans="2:6" ht="30" customHeight="1" outlineLevel="4" x14ac:dyDescent="0.2">
      <c r="B264" s="33">
        <f t="shared" si="4"/>
        <v>261</v>
      </c>
      <c r="C264" s="34" t="s">
        <v>523</v>
      </c>
      <c r="D264" s="41" t="s">
        <v>1174</v>
      </c>
      <c r="E264" s="34" t="s">
        <v>524</v>
      </c>
      <c r="F264" s="41" t="s">
        <v>1325</v>
      </c>
    </row>
    <row r="265" spans="2:6" ht="30" customHeight="1" outlineLevel="4" x14ac:dyDescent="0.2">
      <c r="B265" s="33">
        <f t="shared" si="4"/>
        <v>262</v>
      </c>
      <c r="C265" s="34" t="s">
        <v>525</v>
      </c>
      <c r="D265" s="41" t="s">
        <v>1175</v>
      </c>
      <c r="E265" s="34" t="s">
        <v>526</v>
      </c>
      <c r="F265" s="41" t="s">
        <v>1325</v>
      </c>
    </row>
    <row r="266" spans="2:6" ht="30" customHeight="1" outlineLevel="4" x14ac:dyDescent="0.2">
      <c r="B266" s="33">
        <f t="shared" si="4"/>
        <v>263</v>
      </c>
      <c r="C266" s="34" t="s">
        <v>527</v>
      </c>
      <c r="D266" s="41" t="s">
        <v>1176</v>
      </c>
      <c r="E266" s="34" t="s">
        <v>528</v>
      </c>
      <c r="F266" s="41" t="s">
        <v>1325</v>
      </c>
    </row>
    <row r="267" spans="2:6" ht="30" customHeight="1" outlineLevel="4" x14ac:dyDescent="0.2">
      <c r="B267" s="33">
        <f t="shared" si="4"/>
        <v>264</v>
      </c>
      <c r="C267" s="34" t="s">
        <v>529</v>
      </c>
      <c r="D267" s="41" t="s">
        <v>1177</v>
      </c>
      <c r="E267" s="34" t="s">
        <v>530</v>
      </c>
      <c r="F267" s="41" t="s">
        <v>1325</v>
      </c>
    </row>
    <row r="268" spans="2:6" ht="30" customHeight="1" outlineLevel="4" x14ac:dyDescent="0.2">
      <c r="B268" s="33">
        <f t="shared" si="4"/>
        <v>265</v>
      </c>
      <c r="C268" s="34" t="s">
        <v>531</v>
      </c>
      <c r="D268" s="41" t="s">
        <v>1178</v>
      </c>
      <c r="E268" s="34" t="s">
        <v>532</v>
      </c>
      <c r="F268" s="41" t="s">
        <v>1325</v>
      </c>
    </row>
    <row r="269" spans="2:6" ht="30" customHeight="1" outlineLevel="3" x14ac:dyDescent="0.2">
      <c r="B269" s="13">
        <f t="shared" si="4"/>
        <v>266</v>
      </c>
      <c r="C269" s="14" t="s">
        <v>533</v>
      </c>
      <c r="D269" s="15" t="s">
        <v>1055</v>
      </c>
      <c r="E269" s="14" t="s">
        <v>534</v>
      </c>
      <c r="F269" s="15" t="s">
        <v>1325</v>
      </c>
    </row>
    <row r="270" spans="2:6" ht="30" customHeight="1" outlineLevel="3" x14ac:dyDescent="0.2">
      <c r="B270" s="13">
        <f t="shared" si="4"/>
        <v>267</v>
      </c>
      <c r="C270" s="14" t="s">
        <v>535</v>
      </c>
      <c r="D270" s="15" t="s">
        <v>1056</v>
      </c>
      <c r="E270" s="14" t="s">
        <v>536</v>
      </c>
      <c r="F270" s="15" t="s">
        <v>1325</v>
      </c>
    </row>
    <row r="271" spans="2:6" ht="30" customHeight="1" outlineLevel="4" x14ac:dyDescent="0.2">
      <c r="B271" s="33">
        <f t="shared" si="4"/>
        <v>268</v>
      </c>
      <c r="C271" s="34" t="s">
        <v>537</v>
      </c>
      <c r="D271" s="41" t="s">
        <v>1140</v>
      </c>
      <c r="E271" s="34" t="s">
        <v>538</v>
      </c>
      <c r="F271" s="41" t="s">
        <v>1325</v>
      </c>
    </row>
    <row r="272" spans="2:6" ht="30" customHeight="1" outlineLevel="4" x14ac:dyDescent="0.2">
      <c r="B272" s="33">
        <f t="shared" si="4"/>
        <v>269</v>
      </c>
      <c r="C272" s="34" t="s">
        <v>539</v>
      </c>
      <c r="D272" s="41" t="s">
        <v>1141</v>
      </c>
      <c r="E272" s="34" t="s">
        <v>540</v>
      </c>
      <c r="F272" s="41" t="s">
        <v>1325</v>
      </c>
    </row>
    <row r="273" spans="2:6" ht="30" customHeight="1" outlineLevel="2" x14ac:dyDescent="0.2">
      <c r="B273" s="11">
        <f t="shared" si="4"/>
        <v>270</v>
      </c>
      <c r="C273" s="12" t="s">
        <v>541</v>
      </c>
      <c r="D273" s="97" t="s">
        <v>1031</v>
      </c>
      <c r="E273" s="12" t="s">
        <v>542</v>
      </c>
      <c r="F273" s="97" t="s">
        <v>1325</v>
      </c>
    </row>
    <row r="274" spans="2:6" ht="30" customHeight="1" outlineLevel="3" x14ac:dyDescent="0.2">
      <c r="B274" s="13">
        <f t="shared" si="4"/>
        <v>271</v>
      </c>
      <c r="C274" s="14" t="s">
        <v>543</v>
      </c>
      <c r="D274" s="15" t="s">
        <v>1032</v>
      </c>
      <c r="E274" s="14" t="s">
        <v>544</v>
      </c>
      <c r="F274" s="15" t="s">
        <v>1325</v>
      </c>
    </row>
    <row r="275" spans="2:6" ht="30" customHeight="1" outlineLevel="3" x14ac:dyDescent="0.2">
      <c r="B275" s="13">
        <f t="shared" si="4"/>
        <v>272</v>
      </c>
      <c r="C275" s="14" t="s">
        <v>545</v>
      </c>
      <c r="D275" s="15" t="s">
        <v>1033</v>
      </c>
      <c r="E275" s="15" t="s">
        <v>546</v>
      </c>
      <c r="F275" s="15" t="s">
        <v>1325</v>
      </c>
    </row>
    <row r="276" spans="2:6" ht="30" customHeight="1" outlineLevel="3" x14ac:dyDescent="0.2">
      <c r="B276" s="13">
        <f t="shared" si="4"/>
        <v>273</v>
      </c>
      <c r="C276" s="14" t="s">
        <v>547</v>
      </c>
      <c r="D276" s="15" t="s">
        <v>1034</v>
      </c>
      <c r="E276" s="14" t="s">
        <v>548</v>
      </c>
      <c r="F276" s="15" t="s">
        <v>1325</v>
      </c>
    </row>
    <row r="277" spans="2:6" ht="30" customHeight="1" outlineLevel="1" x14ac:dyDescent="0.2">
      <c r="B277" s="9">
        <f t="shared" si="4"/>
        <v>274</v>
      </c>
      <c r="C277" s="10" t="s">
        <v>549</v>
      </c>
      <c r="D277" s="67" t="s">
        <v>1023</v>
      </c>
      <c r="E277" s="10" t="s">
        <v>550</v>
      </c>
      <c r="F277" s="67" t="s">
        <v>1326</v>
      </c>
    </row>
    <row r="278" spans="2:6" ht="30" customHeight="1" outlineLevel="2" x14ac:dyDescent="0.2">
      <c r="B278" s="11">
        <f t="shared" si="4"/>
        <v>275</v>
      </c>
      <c r="C278" s="12" t="s">
        <v>551</v>
      </c>
      <c r="D278" s="97" t="s">
        <v>1024</v>
      </c>
      <c r="E278" s="23" t="s">
        <v>552</v>
      </c>
      <c r="F278" s="103" t="s">
        <v>1326</v>
      </c>
    </row>
    <row r="279" spans="2:6" ht="30" customHeight="1" outlineLevel="3" x14ac:dyDescent="0.2">
      <c r="B279" s="13">
        <f t="shared" si="4"/>
        <v>276</v>
      </c>
      <c r="C279" s="14" t="s">
        <v>553</v>
      </c>
      <c r="D279" s="15" t="s">
        <v>1025</v>
      </c>
      <c r="E279" s="14" t="s">
        <v>554</v>
      </c>
      <c r="F279" s="15" t="s">
        <v>1326</v>
      </c>
    </row>
    <row r="280" spans="2:6" ht="30" customHeight="1" outlineLevel="3" x14ac:dyDescent="0.2">
      <c r="B280" s="13">
        <f t="shared" si="4"/>
        <v>277</v>
      </c>
      <c r="C280" s="14" t="s">
        <v>555</v>
      </c>
      <c r="D280" s="15" t="s">
        <v>1026</v>
      </c>
      <c r="E280" s="15" t="s">
        <v>556</v>
      </c>
      <c r="F280" s="15" t="s">
        <v>1326</v>
      </c>
    </row>
    <row r="281" spans="2:6" ht="30" customHeight="1" outlineLevel="3" x14ac:dyDescent="0.2">
      <c r="B281" s="13">
        <f t="shared" si="4"/>
        <v>278</v>
      </c>
      <c r="C281" s="14" t="s">
        <v>557</v>
      </c>
      <c r="D281" s="15" t="s">
        <v>1027</v>
      </c>
      <c r="E281" s="14" t="s">
        <v>558</v>
      </c>
      <c r="F281" s="15" t="s">
        <v>1326</v>
      </c>
    </row>
    <row r="282" spans="2:6" ht="30" customHeight="1" outlineLevel="3" x14ac:dyDescent="0.2">
      <c r="B282" s="13">
        <f t="shared" si="4"/>
        <v>279</v>
      </c>
      <c r="C282" s="14" t="s">
        <v>559</v>
      </c>
      <c r="D282" s="15" t="s">
        <v>1028</v>
      </c>
      <c r="E282" s="14" t="s">
        <v>560</v>
      </c>
      <c r="F282" s="15" t="s">
        <v>1326</v>
      </c>
    </row>
    <row r="283" spans="2:6" ht="30" customHeight="1" outlineLevel="3" x14ac:dyDescent="0.2">
      <c r="B283" s="13">
        <f t="shared" si="4"/>
        <v>280</v>
      </c>
      <c r="C283" s="14" t="s">
        <v>561</v>
      </c>
      <c r="D283" s="15" t="s">
        <v>1029</v>
      </c>
      <c r="E283" s="15" t="s">
        <v>562</v>
      </c>
      <c r="F283" s="15" t="s">
        <v>1326</v>
      </c>
    </row>
    <row r="284" spans="2:6" ht="30" customHeight="1" outlineLevel="3" x14ac:dyDescent="0.2">
      <c r="B284" s="13">
        <f t="shared" si="4"/>
        <v>281</v>
      </c>
      <c r="C284" s="14" t="s">
        <v>563</v>
      </c>
      <c r="D284" s="15" t="s">
        <v>1030</v>
      </c>
      <c r="E284" s="15" t="s">
        <v>564</v>
      </c>
      <c r="F284" s="15" t="s">
        <v>1326</v>
      </c>
    </row>
    <row r="285" spans="2:6" ht="30" customHeight="1" outlineLevel="2" x14ac:dyDescent="0.2">
      <c r="B285" s="11">
        <f t="shared" si="4"/>
        <v>282</v>
      </c>
      <c r="C285" s="12" t="s">
        <v>565</v>
      </c>
      <c r="D285" s="97" t="s">
        <v>1207</v>
      </c>
      <c r="E285" s="23" t="s">
        <v>566</v>
      </c>
      <c r="F285" s="103" t="s">
        <v>1326</v>
      </c>
    </row>
    <row r="286" spans="2:6" ht="30" customHeight="1" outlineLevel="2" x14ac:dyDescent="0.2">
      <c r="B286" s="11">
        <f t="shared" si="4"/>
        <v>283</v>
      </c>
      <c r="C286" s="12" t="s">
        <v>567</v>
      </c>
      <c r="D286" s="97" t="s">
        <v>1307</v>
      </c>
      <c r="E286" s="12" t="s">
        <v>568</v>
      </c>
      <c r="F286" s="97" t="s">
        <v>1326</v>
      </c>
    </row>
    <row r="287" spans="2:6" ht="30" customHeight="1" outlineLevel="2" x14ac:dyDescent="0.2">
      <c r="B287" s="11">
        <f t="shared" si="4"/>
        <v>284</v>
      </c>
      <c r="C287" s="12" t="s">
        <v>569</v>
      </c>
      <c r="D287" s="97" t="s">
        <v>1308</v>
      </c>
      <c r="E287" s="12" t="s">
        <v>570</v>
      </c>
      <c r="F287" s="97" t="s">
        <v>1326</v>
      </c>
    </row>
    <row r="288" spans="2:6" ht="30" customHeight="1" outlineLevel="1" x14ac:dyDescent="0.2">
      <c r="B288" s="9">
        <f t="shared" si="4"/>
        <v>285</v>
      </c>
      <c r="C288" s="10" t="s">
        <v>571</v>
      </c>
      <c r="D288" s="67" t="s">
        <v>949</v>
      </c>
      <c r="E288" s="10" t="s">
        <v>572</v>
      </c>
      <c r="F288" s="67" t="s">
        <v>1324</v>
      </c>
    </row>
    <row r="289" spans="2:6" ht="30" customHeight="1" outlineLevel="2" x14ac:dyDescent="0.2">
      <c r="B289" s="11">
        <f t="shared" si="4"/>
        <v>286</v>
      </c>
      <c r="C289" s="12" t="s">
        <v>573</v>
      </c>
      <c r="D289" s="97" t="s">
        <v>952</v>
      </c>
      <c r="E289" s="23" t="s">
        <v>574</v>
      </c>
      <c r="F289" s="103" t="s">
        <v>1324</v>
      </c>
    </row>
    <row r="290" spans="2:6" ht="30" customHeight="1" outlineLevel="3" x14ac:dyDescent="0.2">
      <c r="B290" s="13">
        <f t="shared" si="4"/>
        <v>287</v>
      </c>
      <c r="C290" s="14" t="s">
        <v>575</v>
      </c>
      <c r="D290" s="15" t="s">
        <v>953</v>
      </c>
      <c r="E290" s="14" t="s">
        <v>576</v>
      </c>
      <c r="F290" s="15" t="s">
        <v>1324</v>
      </c>
    </row>
    <row r="291" spans="2:6" ht="30" customHeight="1" outlineLevel="3" x14ac:dyDescent="0.2">
      <c r="B291" s="13">
        <f t="shared" si="4"/>
        <v>288</v>
      </c>
      <c r="C291" s="14" t="s">
        <v>577</v>
      </c>
      <c r="D291" s="15" t="s">
        <v>957</v>
      </c>
      <c r="E291" s="15" t="s">
        <v>578</v>
      </c>
      <c r="F291" s="15" t="s">
        <v>1324</v>
      </c>
    </row>
    <row r="292" spans="2:6" ht="30" customHeight="1" outlineLevel="3" x14ac:dyDescent="0.2">
      <c r="B292" s="13">
        <f t="shared" si="4"/>
        <v>289</v>
      </c>
      <c r="C292" s="14" t="s">
        <v>579</v>
      </c>
      <c r="D292" s="15" t="s">
        <v>958</v>
      </c>
      <c r="E292" s="14" t="s">
        <v>580</v>
      </c>
      <c r="F292" s="15" t="s">
        <v>1324</v>
      </c>
    </row>
    <row r="293" spans="2:6" ht="30" customHeight="1" outlineLevel="3" x14ac:dyDescent="0.2">
      <c r="B293" s="13">
        <f t="shared" si="4"/>
        <v>290</v>
      </c>
      <c r="C293" s="14" t="s">
        <v>581</v>
      </c>
      <c r="D293" s="15" t="s">
        <v>959</v>
      </c>
      <c r="E293" s="15" t="s">
        <v>582</v>
      </c>
      <c r="F293" s="15" t="s">
        <v>1324</v>
      </c>
    </row>
    <row r="294" spans="2:6" ht="30" customHeight="1" outlineLevel="3" x14ac:dyDescent="0.2">
      <c r="B294" s="13">
        <f t="shared" si="4"/>
        <v>291</v>
      </c>
      <c r="C294" s="14" t="s">
        <v>583</v>
      </c>
      <c r="D294" s="15" t="s">
        <v>963</v>
      </c>
      <c r="E294" s="15" t="s">
        <v>584</v>
      </c>
      <c r="F294" s="15" t="s">
        <v>1324</v>
      </c>
    </row>
    <row r="295" spans="2:6" ht="30" customHeight="1" outlineLevel="2" x14ac:dyDescent="0.2">
      <c r="B295" s="11">
        <f t="shared" si="4"/>
        <v>292</v>
      </c>
      <c r="C295" s="12" t="s">
        <v>585</v>
      </c>
      <c r="D295" s="97" t="s">
        <v>960</v>
      </c>
      <c r="E295" s="23" t="s">
        <v>586</v>
      </c>
      <c r="F295" s="103" t="s">
        <v>1324</v>
      </c>
    </row>
    <row r="296" spans="2:6" ht="30" customHeight="1" outlineLevel="3" x14ac:dyDescent="0.2">
      <c r="B296" s="13">
        <f t="shared" si="4"/>
        <v>293</v>
      </c>
      <c r="C296" s="14" t="s">
        <v>587</v>
      </c>
      <c r="D296" s="15" t="s">
        <v>961</v>
      </c>
      <c r="E296" s="14" t="s">
        <v>588</v>
      </c>
      <c r="F296" s="15" t="s">
        <v>1324</v>
      </c>
    </row>
    <row r="297" spans="2:6" ht="30" customHeight="1" outlineLevel="3" x14ac:dyDescent="0.2">
      <c r="B297" s="13">
        <f t="shared" si="4"/>
        <v>294</v>
      </c>
      <c r="C297" s="14" t="s">
        <v>589</v>
      </c>
      <c r="D297" s="15" t="s">
        <v>964</v>
      </c>
      <c r="E297" s="14" t="s">
        <v>590</v>
      </c>
      <c r="F297" s="15" t="s">
        <v>1324</v>
      </c>
    </row>
    <row r="298" spans="2:6" ht="30" customHeight="1" outlineLevel="2" x14ac:dyDescent="0.2">
      <c r="B298" s="11">
        <f t="shared" si="4"/>
        <v>295</v>
      </c>
      <c r="C298" s="12" t="s">
        <v>591</v>
      </c>
      <c r="D298" s="97" t="s">
        <v>965</v>
      </c>
      <c r="E298" s="12" t="s">
        <v>592</v>
      </c>
      <c r="F298" s="97" t="s">
        <v>1329</v>
      </c>
    </row>
    <row r="299" spans="2:6" ht="30" customHeight="1" outlineLevel="3" x14ac:dyDescent="0.2">
      <c r="B299" s="13">
        <f t="shared" si="4"/>
        <v>296</v>
      </c>
      <c r="C299" s="14" t="s">
        <v>593</v>
      </c>
      <c r="D299" s="15" t="s">
        <v>966</v>
      </c>
      <c r="E299" s="14" t="s">
        <v>594</v>
      </c>
      <c r="F299" s="15" t="s">
        <v>1329</v>
      </c>
    </row>
    <row r="300" spans="2:6" ht="30" customHeight="1" outlineLevel="3" x14ac:dyDescent="0.2">
      <c r="B300" s="13">
        <f t="shared" si="4"/>
        <v>297</v>
      </c>
      <c r="C300" s="14" t="s">
        <v>595</v>
      </c>
      <c r="D300" s="15" t="s">
        <v>967</v>
      </c>
      <c r="E300" s="14" t="s">
        <v>596</v>
      </c>
      <c r="F300" s="15" t="s">
        <v>1329</v>
      </c>
    </row>
    <row r="301" spans="2:6" ht="30" customHeight="1" outlineLevel="3" x14ac:dyDescent="0.2">
      <c r="B301" s="13">
        <f t="shared" si="4"/>
        <v>298</v>
      </c>
      <c r="C301" s="14" t="s">
        <v>597</v>
      </c>
      <c r="D301" s="15" t="s">
        <v>968</v>
      </c>
      <c r="E301" s="14" t="s">
        <v>598</v>
      </c>
      <c r="F301" s="15" t="s">
        <v>1329</v>
      </c>
    </row>
    <row r="302" spans="2:6" ht="30" customHeight="1" outlineLevel="3" x14ac:dyDescent="0.2">
      <c r="B302" s="13">
        <f t="shared" si="4"/>
        <v>299</v>
      </c>
      <c r="C302" s="14" t="s">
        <v>599</v>
      </c>
      <c r="D302" s="15" t="s">
        <v>969</v>
      </c>
      <c r="E302" s="14" t="s">
        <v>600</v>
      </c>
      <c r="F302" s="15" t="s">
        <v>1329</v>
      </c>
    </row>
    <row r="303" spans="2:6" ht="30" customHeight="1" outlineLevel="3" x14ac:dyDescent="0.2">
      <c r="B303" s="13">
        <f t="shared" si="4"/>
        <v>300</v>
      </c>
      <c r="C303" s="14" t="s">
        <v>601</v>
      </c>
      <c r="D303" s="15" t="s">
        <v>970</v>
      </c>
      <c r="E303" s="14" t="s">
        <v>602</v>
      </c>
      <c r="F303" s="15" t="s">
        <v>1329</v>
      </c>
    </row>
    <row r="304" spans="2:6" ht="30" customHeight="1" outlineLevel="3" x14ac:dyDescent="0.2">
      <c r="B304" s="13">
        <f t="shared" si="4"/>
        <v>301</v>
      </c>
      <c r="C304" s="14" t="s">
        <v>603</v>
      </c>
      <c r="D304" s="15" t="s">
        <v>971</v>
      </c>
      <c r="E304" s="15" t="s">
        <v>604</v>
      </c>
      <c r="F304" s="15" t="s">
        <v>1329</v>
      </c>
    </row>
    <row r="305" spans="2:6" ht="30" customHeight="1" outlineLevel="3" x14ac:dyDescent="0.2">
      <c r="B305" s="13">
        <f t="shared" si="4"/>
        <v>302</v>
      </c>
      <c r="C305" s="14" t="s">
        <v>605</v>
      </c>
      <c r="D305" s="15" t="s">
        <v>972</v>
      </c>
      <c r="E305" s="14" t="s">
        <v>606</v>
      </c>
      <c r="F305" s="15" t="s">
        <v>1329</v>
      </c>
    </row>
    <row r="306" spans="2:6" ht="30" customHeight="1" outlineLevel="3" x14ac:dyDescent="0.2">
      <c r="B306" s="13">
        <f t="shared" si="4"/>
        <v>303</v>
      </c>
      <c r="C306" s="14" t="s">
        <v>607</v>
      </c>
      <c r="D306" s="15" t="s">
        <v>973</v>
      </c>
      <c r="E306" s="14" t="s">
        <v>608</v>
      </c>
      <c r="F306" s="15" t="s">
        <v>1329</v>
      </c>
    </row>
    <row r="307" spans="2:6" ht="30" customHeight="1" outlineLevel="3" x14ac:dyDescent="0.2">
      <c r="B307" s="13">
        <f t="shared" si="4"/>
        <v>304</v>
      </c>
      <c r="C307" s="14" t="s">
        <v>609</v>
      </c>
      <c r="D307" s="15" t="s">
        <v>975</v>
      </c>
      <c r="E307" s="14" t="s">
        <v>610</v>
      </c>
      <c r="F307" s="15" t="s">
        <v>1329</v>
      </c>
    </row>
    <row r="308" spans="2:6" ht="30" customHeight="1" outlineLevel="3" x14ac:dyDescent="0.2">
      <c r="B308" s="13">
        <f t="shared" si="4"/>
        <v>305</v>
      </c>
      <c r="C308" s="14" t="s">
        <v>611</v>
      </c>
      <c r="D308" s="15" t="s">
        <v>1184</v>
      </c>
      <c r="E308" s="42" t="s">
        <v>612</v>
      </c>
      <c r="F308" s="42" t="s">
        <v>1329</v>
      </c>
    </row>
    <row r="309" spans="2:6" ht="30" customHeight="1" outlineLevel="3" x14ac:dyDescent="0.2">
      <c r="B309" s="13">
        <f t="shared" si="4"/>
        <v>306</v>
      </c>
      <c r="C309" s="14" t="s">
        <v>613</v>
      </c>
      <c r="D309" s="15" t="s">
        <v>1182</v>
      </c>
      <c r="E309" s="42" t="s">
        <v>614</v>
      </c>
      <c r="F309" s="42" t="s">
        <v>1329</v>
      </c>
    </row>
    <row r="310" spans="2:6" ht="30" customHeight="1" outlineLevel="2" x14ac:dyDescent="0.2">
      <c r="B310" s="11">
        <f t="shared" si="4"/>
        <v>307</v>
      </c>
      <c r="C310" s="12" t="s">
        <v>615</v>
      </c>
      <c r="D310" s="97" t="s">
        <v>950</v>
      </c>
      <c r="E310" s="12" t="s">
        <v>616</v>
      </c>
      <c r="F310" s="97" t="s">
        <v>1324</v>
      </c>
    </row>
    <row r="311" spans="2:6" ht="30" customHeight="1" outlineLevel="3" x14ac:dyDescent="0.2">
      <c r="B311" s="13">
        <f t="shared" si="4"/>
        <v>308</v>
      </c>
      <c r="C311" s="14" t="s">
        <v>617</v>
      </c>
      <c r="D311" s="15" t="s">
        <v>962</v>
      </c>
      <c r="E311" s="14" t="s">
        <v>618</v>
      </c>
      <c r="F311" s="15" t="s">
        <v>1324</v>
      </c>
    </row>
    <row r="312" spans="2:6" ht="30" customHeight="1" outlineLevel="3" x14ac:dyDescent="0.2">
      <c r="B312" s="13">
        <f t="shared" si="4"/>
        <v>309</v>
      </c>
      <c r="C312" s="14" t="s">
        <v>619</v>
      </c>
      <c r="D312" s="15" t="s">
        <v>956</v>
      </c>
      <c r="E312" s="15" t="s">
        <v>620</v>
      </c>
      <c r="F312" s="15" t="s">
        <v>1324</v>
      </c>
    </row>
    <row r="313" spans="2:6" ht="30" customHeight="1" outlineLevel="3" x14ac:dyDescent="0.2">
      <c r="B313" s="13">
        <f t="shared" si="4"/>
        <v>310</v>
      </c>
      <c r="C313" s="14" t="s">
        <v>621</v>
      </c>
      <c r="D313" s="15" t="s">
        <v>974</v>
      </c>
      <c r="E313" s="14" t="s">
        <v>622</v>
      </c>
      <c r="F313" s="15" t="s">
        <v>1324</v>
      </c>
    </row>
    <row r="314" spans="2:6" ht="30" customHeight="1" outlineLevel="3" x14ac:dyDescent="0.2">
      <c r="B314" s="13">
        <f t="shared" si="4"/>
        <v>311</v>
      </c>
      <c r="C314" s="14" t="s">
        <v>623</v>
      </c>
      <c r="D314" s="15" t="s">
        <v>951</v>
      </c>
      <c r="E314" s="15" t="s">
        <v>624</v>
      </c>
      <c r="F314" s="15" t="s">
        <v>1324</v>
      </c>
    </row>
    <row r="315" spans="2:6" ht="30" customHeight="1" outlineLevel="3" x14ac:dyDescent="0.2">
      <c r="B315" s="13">
        <f t="shared" si="4"/>
        <v>312</v>
      </c>
      <c r="C315" s="14" t="s">
        <v>625</v>
      </c>
      <c r="D315" s="15" t="s">
        <v>955</v>
      </c>
      <c r="E315" s="14" t="s">
        <v>626</v>
      </c>
      <c r="F315" s="15" t="s">
        <v>1324</v>
      </c>
    </row>
    <row r="316" spans="2:6" ht="30" customHeight="1" outlineLevel="3" x14ac:dyDescent="0.2">
      <c r="B316" s="13">
        <f t="shared" si="4"/>
        <v>313</v>
      </c>
      <c r="C316" s="14" t="s">
        <v>627</v>
      </c>
      <c r="D316" s="15" t="s">
        <v>976</v>
      </c>
      <c r="E316" s="39" t="s">
        <v>628</v>
      </c>
      <c r="F316" s="42" t="s">
        <v>1324</v>
      </c>
    </row>
    <row r="317" spans="2:6" ht="30" customHeight="1" outlineLevel="3" x14ac:dyDescent="0.2">
      <c r="B317" s="13">
        <f t="shared" si="4"/>
        <v>314</v>
      </c>
      <c r="C317" s="14" t="s">
        <v>629</v>
      </c>
      <c r="D317" s="15" t="s">
        <v>1084</v>
      </c>
      <c r="E317" s="40" t="s">
        <v>630</v>
      </c>
      <c r="F317" s="106" t="s">
        <v>1324</v>
      </c>
    </row>
    <row r="318" spans="2:6" ht="30" customHeight="1" outlineLevel="3" x14ac:dyDescent="0.2">
      <c r="B318" s="13">
        <f t="shared" si="4"/>
        <v>315</v>
      </c>
      <c r="C318" s="14" t="s">
        <v>631</v>
      </c>
      <c r="D318" s="15" t="s">
        <v>1086</v>
      </c>
      <c r="E318" s="40" t="s">
        <v>632</v>
      </c>
      <c r="F318" s="106" t="s">
        <v>1324</v>
      </c>
    </row>
    <row r="319" spans="2:6" ht="30" customHeight="1" outlineLevel="3" x14ac:dyDescent="0.2">
      <c r="B319" s="13">
        <f t="shared" si="4"/>
        <v>316</v>
      </c>
      <c r="C319" s="14" t="s">
        <v>633</v>
      </c>
      <c r="D319" s="15" t="s">
        <v>1085</v>
      </c>
      <c r="E319" s="40" t="s">
        <v>634</v>
      </c>
      <c r="F319" s="106" t="s">
        <v>1324</v>
      </c>
    </row>
    <row r="320" spans="2:6" ht="30" customHeight="1" outlineLevel="3" x14ac:dyDescent="0.2">
      <c r="B320" s="13">
        <f t="shared" si="4"/>
        <v>317</v>
      </c>
      <c r="C320" s="14" t="s">
        <v>635</v>
      </c>
      <c r="D320" s="15" t="s">
        <v>1142</v>
      </c>
      <c r="E320" s="40" t="s">
        <v>636</v>
      </c>
      <c r="F320" s="106" t="s">
        <v>1324</v>
      </c>
    </row>
    <row r="321" spans="2:6" ht="30" customHeight="1" outlineLevel="3" x14ac:dyDescent="0.2">
      <c r="B321" s="13">
        <f t="shared" si="4"/>
        <v>318</v>
      </c>
      <c r="C321" s="14" t="s">
        <v>637</v>
      </c>
      <c r="D321" s="15" t="s">
        <v>1183</v>
      </c>
      <c r="E321" s="39" t="s">
        <v>638</v>
      </c>
      <c r="F321" s="42" t="s">
        <v>1324</v>
      </c>
    </row>
    <row r="322" spans="2:6" ht="30" customHeight="1" outlineLevel="3" x14ac:dyDescent="0.2">
      <c r="B322" s="13">
        <f t="shared" si="4"/>
        <v>319</v>
      </c>
      <c r="C322" s="14" t="s">
        <v>639</v>
      </c>
      <c r="D322" s="15" t="s">
        <v>1187</v>
      </c>
      <c r="E322" s="39" t="s">
        <v>640</v>
      </c>
      <c r="F322" s="42" t="s">
        <v>1324</v>
      </c>
    </row>
    <row r="323" spans="2:6" ht="30" customHeight="1" x14ac:dyDescent="0.2">
      <c r="B323" s="7">
        <f>B322+1</f>
        <v>320</v>
      </c>
      <c r="C323" s="8" t="s">
        <v>641</v>
      </c>
      <c r="D323" s="96" t="s">
        <v>930</v>
      </c>
      <c r="E323" s="22" t="s">
        <v>642</v>
      </c>
      <c r="F323" s="102" t="s">
        <v>930</v>
      </c>
    </row>
    <row r="324" spans="2:6" ht="30" customHeight="1" outlineLevel="1" collapsed="1" x14ac:dyDescent="0.2">
      <c r="B324" s="9">
        <f t="shared" si="4"/>
        <v>321</v>
      </c>
      <c r="C324" s="10" t="s">
        <v>643</v>
      </c>
      <c r="D324" s="67" t="s">
        <v>1066</v>
      </c>
      <c r="E324" s="10" t="s">
        <v>644</v>
      </c>
      <c r="F324" s="67" t="s">
        <v>930</v>
      </c>
    </row>
    <row r="325" spans="2:6" ht="30" customHeight="1" outlineLevel="2" x14ac:dyDescent="0.2">
      <c r="B325" s="11">
        <f t="shared" si="4"/>
        <v>322</v>
      </c>
      <c r="C325" s="12" t="s">
        <v>645</v>
      </c>
      <c r="D325" s="97" t="s">
        <v>1309</v>
      </c>
      <c r="E325" s="23" t="s">
        <v>646</v>
      </c>
      <c r="F325" s="103" t="s">
        <v>930</v>
      </c>
    </row>
    <row r="326" spans="2:6" ht="30" customHeight="1" outlineLevel="2" x14ac:dyDescent="0.2">
      <c r="B326" s="11">
        <f t="shared" ref="B326:B389" si="5">B325+1</f>
        <v>323</v>
      </c>
      <c r="C326" s="12" t="s">
        <v>647</v>
      </c>
      <c r="D326" s="97" t="s">
        <v>1203</v>
      </c>
      <c r="E326" s="12" t="s">
        <v>648</v>
      </c>
      <c r="F326" s="97" t="s">
        <v>930</v>
      </c>
    </row>
    <row r="327" spans="2:6" ht="30" customHeight="1" outlineLevel="2" x14ac:dyDescent="0.2">
      <c r="B327" s="11">
        <f t="shared" si="5"/>
        <v>324</v>
      </c>
      <c r="C327" s="12" t="s">
        <v>649</v>
      </c>
      <c r="D327" s="97" t="s">
        <v>1310</v>
      </c>
      <c r="E327" s="12" t="s">
        <v>650</v>
      </c>
      <c r="F327" s="97" t="s">
        <v>930</v>
      </c>
    </row>
    <row r="328" spans="2:6" ht="30" customHeight="1" outlineLevel="2" x14ac:dyDescent="0.2">
      <c r="B328" s="11">
        <f t="shared" si="5"/>
        <v>325</v>
      </c>
      <c r="C328" s="12" t="s">
        <v>651</v>
      </c>
      <c r="D328" s="97" t="s">
        <v>1067</v>
      </c>
      <c r="E328" s="12" t="s">
        <v>652</v>
      </c>
      <c r="F328" s="97" t="s">
        <v>930</v>
      </c>
    </row>
    <row r="329" spans="2:6" ht="30" customHeight="1" outlineLevel="3" x14ac:dyDescent="0.2">
      <c r="B329" s="13">
        <f t="shared" si="5"/>
        <v>326</v>
      </c>
      <c r="C329" s="14" t="s">
        <v>653</v>
      </c>
      <c r="D329" s="15" t="s">
        <v>1068</v>
      </c>
      <c r="E329" s="14" t="s">
        <v>654</v>
      </c>
      <c r="F329" s="15" t="s">
        <v>930</v>
      </c>
    </row>
    <row r="330" spans="2:6" ht="30" customHeight="1" outlineLevel="3" x14ac:dyDescent="0.2">
      <c r="B330" s="13">
        <f t="shared" si="5"/>
        <v>327</v>
      </c>
      <c r="C330" s="14" t="s">
        <v>655</v>
      </c>
      <c r="D330" s="15" t="s">
        <v>1214</v>
      </c>
      <c r="E330" s="14" t="s">
        <v>656</v>
      </c>
      <c r="F330" s="15" t="s">
        <v>930</v>
      </c>
    </row>
    <row r="331" spans="2:6" ht="30" customHeight="1" outlineLevel="3" x14ac:dyDescent="0.2">
      <c r="B331" s="13">
        <f t="shared" si="5"/>
        <v>328</v>
      </c>
      <c r="C331" s="14" t="s">
        <v>657</v>
      </c>
      <c r="D331" s="15" t="s">
        <v>1210</v>
      </c>
      <c r="E331" s="14" t="s">
        <v>658</v>
      </c>
      <c r="F331" s="15" t="s">
        <v>930</v>
      </c>
    </row>
    <row r="332" spans="2:6" ht="30" customHeight="1" outlineLevel="1" x14ac:dyDescent="0.2">
      <c r="B332" s="9">
        <f t="shared" si="5"/>
        <v>329</v>
      </c>
      <c r="C332" s="10" t="s">
        <v>659</v>
      </c>
      <c r="D332" s="67" t="s">
        <v>931</v>
      </c>
      <c r="E332" s="10" t="s">
        <v>660</v>
      </c>
      <c r="F332" s="67" t="s">
        <v>930</v>
      </c>
    </row>
    <row r="333" spans="2:6" ht="30" customHeight="1" outlineLevel="2" x14ac:dyDescent="0.2">
      <c r="B333" s="11">
        <f t="shared" si="5"/>
        <v>330</v>
      </c>
      <c r="C333" s="12" t="s">
        <v>661</v>
      </c>
      <c r="D333" s="97" t="s">
        <v>932</v>
      </c>
      <c r="E333" s="23" t="s">
        <v>662</v>
      </c>
      <c r="F333" s="103" t="s">
        <v>930</v>
      </c>
    </row>
    <row r="334" spans="2:6" ht="30" customHeight="1" outlineLevel="2" x14ac:dyDescent="0.2">
      <c r="B334" s="11">
        <f t="shared" si="5"/>
        <v>331</v>
      </c>
      <c r="C334" s="12" t="s">
        <v>663</v>
      </c>
      <c r="D334" s="97" t="s">
        <v>1064</v>
      </c>
      <c r="E334" s="17" t="s">
        <v>664</v>
      </c>
      <c r="F334" s="31" t="s">
        <v>930</v>
      </c>
    </row>
    <row r="335" spans="2:6" ht="30" customHeight="1" x14ac:dyDescent="0.2">
      <c r="B335" s="7">
        <f t="shared" si="5"/>
        <v>332</v>
      </c>
      <c r="C335" s="8" t="s">
        <v>665</v>
      </c>
      <c r="D335" s="96" t="s">
        <v>1073</v>
      </c>
      <c r="E335" s="22" t="s">
        <v>666</v>
      </c>
      <c r="F335" s="102" t="s">
        <v>1073</v>
      </c>
    </row>
    <row r="336" spans="2:6" ht="30" customHeight="1" outlineLevel="1" x14ac:dyDescent="0.2">
      <c r="B336" s="9">
        <f t="shared" si="5"/>
        <v>333</v>
      </c>
      <c r="C336" s="10" t="s">
        <v>667</v>
      </c>
      <c r="D336" s="67" t="s">
        <v>1185</v>
      </c>
      <c r="E336" s="10" t="s">
        <v>668</v>
      </c>
      <c r="F336" s="67" t="s">
        <v>1073</v>
      </c>
    </row>
    <row r="337" spans="2:6" ht="30" customHeight="1" outlineLevel="2" x14ac:dyDescent="0.2">
      <c r="B337" s="11">
        <f t="shared" si="5"/>
        <v>334</v>
      </c>
      <c r="C337" s="12" t="s">
        <v>669</v>
      </c>
      <c r="D337" s="97" t="s">
        <v>1197</v>
      </c>
      <c r="E337" s="23" t="s">
        <v>670</v>
      </c>
      <c r="F337" s="103" t="s">
        <v>1073</v>
      </c>
    </row>
    <row r="338" spans="2:6" ht="30" customHeight="1" outlineLevel="2" x14ac:dyDescent="0.2">
      <c r="B338" s="11">
        <f t="shared" si="5"/>
        <v>335</v>
      </c>
      <c r="C338" s="12" t="s">
        <v>671</v>
      </c>
      <c r="D338" s="97" t="s">
        <v>1311</v>
      </c>
      <c r="E338" s="12" t="s">
        <v>672</v>
      </c>
      <c r="F338" s="97" t="s">
        <v>1073</v>
      </c>
    </row>
    <row r="339" spans="2:6" ht="30" customHeight="1" outlineLevel="2" x14ac:dyDescent="0.2">
      <c r="B339" s="11">
        <f t="shared" si="5"/>
        <v>336</v>
      </c>
      <c r="C339" s="12" t="s">
        <v>673</v>
      </c>
      <c r="D339" s="97" t="s">
        <v>1230</v>
      </c>
      <c r="E339" s="12" t="s">
        <v>674</v>
      </c>
      <c r="F339" s="97" t="s">
        <v>1073</v>
      </c>
    </row>
    <row r="340" spans="2:6" ht="30" customHeight="1" outlineLevel="2" x14ac:dyDescent="0.2">
      <c r="B340" s="11">
        <f t="shared" si="5"/>
        <v>337</v>
      </c>
      <c r="C340" s="12" t="s">
        <v>675</v>
      </c>
      <c r="D340" s="97" t="s">
        <v>1186</v>
      </c>
      <c r="E340" s="12" t="s">
        <v>676</v>
      </c>
      <c r="F340" s="97" t="s">
        <v>1073</v>
      </c>
    </row>
    <row r="341" spans="2:6" ht="30" customHeight="1" outlineLevel="2" x14ac:dyDescent="0.2">
      <c r="B341" s="11">
        <f t="shared" si="5"/>
        <v>338</v>
      </c>
      <c r="C341" s="12" t="s">
        <v>677</v>
      </c>
      <c r="D341" s="97" t="s">
        <v>1227</v>
      </c>
      <c r="E341" s="12" t="s">
        <v>678</v>
      </c>
      <c r="F341" s="97" t="s">
        <v>1073</v>
      </c>
    </row>
    <row r="342" spans="2:6" ht="30" customHeight="1" outlineLevel="1" x14ac:dyDescent="0.2">
      <c r="B342" s="9">
        <f t="shared" si="5"/>
        <v>339</v>
      </c>
      <c r="C342" s="10" t="s">
        <v>679</v>
      </c>
      <c r="D342" s="67" t="s">
        <v>1074</v>
      </c>
      <c r="E342" s="10" t="s">
        <v>680</v>
      </c>
      <c r="F342" s="67" t="s">
        <v>1073</v>
      </c>
    </row>
    <row r="343" spans="2:6" ht="30" customHeight="1" outlineLevel="2" x14ac:dyDescent="0.2">
      <c r="B343" s="11">
        <f t="shared" si="5"/>
        <v>340</v>
      </c>
      <c r="C343" s="12" t="s">
        <v>681</v>
      </c>
      <c r="D343" s="97" t="s">
        <v>1075</v>
      </c>
      <c r="E343" s="12" t="s">
        <v>682</v>
      </c>
      <c r="F343" s="97" t="s">
        <v>1073</v>
      </c>
    </row>
    <row r="344" spans="2:6" ht="30" customHeight="1" outlineLevel="3" x14ac:dyDescent="0.2">
      <c r="B344" s="13">
        <f t="shared" si="5"/>
        <v>341</v>
      </c>
      <c r="C344" s="14" t="s">
        <v>683</v>
      </c>
      <c r="D344" s="15" t="s">
        <v>1076</v>
      </c>
      <c r="E344" s="43" t="s">
        <v>684</v>
      </c>
      <c r="F344" s="107" t="s">
        <v>1073</v>
      </c>
    </row>
    <row r="345" spans="2:6" ht="30" customHeight="1" outlineLevel="3" x14ac:dyDescent="0.2">
      <c r="B345" s="13">
        <f t="shared" si="5"/>
        <v>342</v>
      </c>
      <c r="C345" s="14" t="s">
        <v>685</v>
      </c>
      <c r="D345" s="15" t="s">
        <v>1077</v>
      </c>
      <c r="E345" s="43" t="s">
        <v>686</v>
      </c>
      <c r="F345" s="107" t="s">
        <v>1073</v>
      </c>
    </row>
    <row r="346" spans="2:6" ht="30" customHeight="1" outlineLevel="3" x14ac:dyDescent="0.2">
      <c r="B346" s="13">
        <f t="shared" si="5"/>
        <v>343</v>
      </c>
      <c r="C346" s="14" t="s">
        <v>687</v>
      </c>
      <c r="D346" s="15" t="s">
        <v>1078</v>
      </c>
      <c r="E346" s="43" t="s">
        <v>688</v>
      </c>
      <c r="F346" s="107" t="s">
        <v>1073</v>
      </c>
    </row>
    <row r="347" spans="2:6" ht="30" customHeight="1" outlineLevel="3" x14ac:dyDescent="0.2">
      <c r="B347" s="13">
        <f t="shared" si="5"/>
        <v>344</v>
      </c>
      <c r="C347" s="14" t="s">
        <v>689</v>
      </c>
      <c r="D347" s="15" t="s">
        <v>1196</v>
      </c>
      <c r="E347" s="43" t="s">
        <v>690</v>
      </c>
      <c r="F347" s="107" t="s">
        <v>1073</v>
      </c>
    </row>
    <row r="348" spans="2:6" ht="30" customHeight="1" outlineLevel="2" x14ac:dyDescent="0.2">
      <c r="B348" s="13">
        <f t="shared" si="5"/>
        <v>345</v>
      </c>
      <c r="C348" s="12" t="s">
        <v>691</v>
      </c>
      <c r="D348" s="97" t="s">
        <v>1312</v>
      </c>
      <c r="E348" s="12" t="s">
        <v>692</v>
      </c>
      <c r="F348" s="97" t="s">
        <v>1073</v>
      </c>
    </row>
    <row r="349" spans="2:6" ht="30" customHeight="1" x14ac:dyDescent="0.2">
      <c r="B349" s="7">
        <f t="shared" si="5"/>
        <v>346</v>
      </c>
      <c r="C349" s="8" t="s">
        <v>693</v>
      </c>
      <c r="D349" s="96" t="s">
        <v>839</v>
      </c>
      <c r="E349" s="8" t="s">
        <v>694</v>
      </c>
      <c r="F349" s="96" t="s">
        <v>839</v>
      </c>
    </row>
    <row r="350" spans="2:6" ht="30" customHeight="1" outlineLevel="1" x14ac:dyDescent="0.2">
      <c r="B350" s="9">
        <f t="shared" si="5"/>
        <v>347</v>
      </c>
      <c r="C350" s="10" t="s">
        <v>695</v>
      </c>
      <c r="D350" s="67" t="s">
        <v>1107</v>
      </c>
      <c r="E350" s="10" t="s">
        <v>696</v>
      </c>
      <c r="F350" s="67" t="s">
        <v>839</v>
      </c>
    </row>
    <row r="351" spans="2:6" ht="30" customHeight="1" outlineLevel="2" x14ac:dyDescent="0.2">
      <c r="B351" s="11">
        <f t="shared" si="5"/>
        <v>348</v>
      </c>
      <c r="C351" s="12" t="s">
        <v>697</v>
      </c>
      <c r="D351" s="97" t="s">
        <v>1058</v>
      </c>
      <c r="E351" s="12" t="s">
        <v>698</v>
      </c>
      <c r="F351" s="97" t="s">
        <v>839</v>
      </c>
    </row>
    <row r="352" spans="2:6" ht="30" customHeight="1" outlineLevel="2" x14ac:dyDescent="0.2">
      <c r="B352" s="11">
        <f t="shared" si="5"/>
        <v>349</v>
      </c>
      <c r="C352" s="12" t="s">
        <v>699</v>
      </c>
      <c r="D352" s="97" t="s">
        <v>844</v>
      </c>
      <c r="E352" s="12" t="s">
        <v>700</v>
      </c>
      <c r="F352" s="97" t="s">
        <v>839</v>
      </c>
    </row>
    <row r="353" spans="2:6" ht="30" customHeight="1" outlineLevel="2" x14ac:dyDescent="0.2">
      <c r="B353" s="11">
        <f t="shared" si="5"/>
        <v>350</v>
      </c>
      <c r="C353" s="12" t="s">
        <v>701</v>
      </c>
      <c r="D353" s="97" t="s">
        <v>840</v>
      </c>
      <c r="E353" s="12" t="s">
        <v>702</v>
      </c>
      <c r="F353" s="97" t="s">
        <v>839</v>
      </c>
    </row>
    <row r="354" spans="2:6" ht="30" customHeight="1" outlineLevel="3" x14ac:dyDescent="0.2">
      <c r="B354" s="24">
        <f t="shared" si="5"/>
        <v>351</v>
      </c>
      <c r="C354" s="25" t="s">
        <v>703</v>
      </c>
      <c r="D354" s="44" t="s">
        <v>1313</v>
      </c>
      <c r="E354" s="44" t="s">
        <v>704</v>
      </c>
      <c r="F354" s="44" t="s">
        <v>839</v>
      </c>
    </row>
    <row r="355" spans="2:6" ht="30" customHeight="1" outlineLevel="3" x14ac:dyDescent="0.2">
      <c r="B355" s="13">
        <f t="shared" si="5"/>
        <v>352</v>
      </c>
      <c r="C355" s="14" t="s">
        <v>705</v>
      </c>
      <c r="D355" s="15" t="s">
        <v>842</v>
      </c>
      <c r="E355" s="14" t="s">
        <v>706</v>
      </c>
      <c r="F355" s="15" t="s">
        <v>839</v>
      </c>
    </row>
    <row r="356" spans="2:6" ht="30" customHeight="1" outlineLevel="3" x14ac:dyDescent="0.2">
      <c r="B356" s="13">
        <f t="shared" si="5"/>
        <v>353</v>
      </c>
      <c r="C356" s="14" t="s">
        <v>707</v>
      </c>
      <c r="D356" s="15" t="s">
        <v>843</v>
      </c>
      <c r="E356" s="15" t="s">
        <v>708</v>
      </c>
      <c r="F356" s="15" t="s">
        <v>839</v>
      </c>
    </row>
    <row r="357" spans="2:6" ht="30" customHeight="1" outlineLevel="3" x14ac:dyDescent="0.2">
      <c r="B357" s="13">
        <f t="shared" si="5"/>
        <v>354</v>
      </c>
      <c r="C357" s="14" t="s">
        <v>709</v>
      </c>
      <c r="D357" s="15" t="s">
        <v>1069</v>
      </c>
      <c r="E357" s="15" t="s">
        <v>710</v>
      </c>
      <c r="F357" s="15" t="s">
        <v>839</v>
      </c>
    </row>
    <row r="358" spans="2:6" ht="30" customHeight="1" outlineLevel="3" x14ac:dyDescent="0.2">
      <c r="B358" s="13">
        <f t="shared" si="5"/>
        <v>355</v>
      </c>
      <c r="C358" s="14" t="s">
        <v>711</v>
      </c>
      <c r="D358" s="15" t="s">
        <v>1070</v>
      </c>
      <c r="E358" s="15" t="s">
        <v>712</v>
      </c>
      <c r="F358" s="15" t="s">
        <v>839</v>
      </c>
    </row>
    <row r="359" spans="2:6" ht="30" customHeight="1" outlineLevel="3" x14ac:dyDescent="0.2">
      <c r="B359" s="13">
        <f t="shared" si="5"/>
        <v>356</v>
      </c>
      <c r="C359" s="14" t="s">
        <v>713</v>
      </c>
      <c r="D359" s="15" t="s">
        <v>1072</v>
      </c>
      <c r="E359" s="15" t="s">
        <v>714</v>
      </c>
      <c r="F359" s="15" t="s">
        <v>839</v>
      </c>
    </row>
    <row r="360" spans="2:6" ht="30" customHeight="1" outlineLevel="3" x14ac:dyDescent="0.2">
      <c r="B360" s="13">
        <f t="shared" si="5"/>
        <v>357</v>
      </c>
      <c r="C360" s="14" t="s">
        <v>715</v>
      </c>
      <c r="D360" s="15" t="s">
        <v>841</v>
      </c>
      <c r="E360" s="15" t="s">
        <v>716</v>
      </c>
      <c r="F360" s="15" t="s">
        <v>839</v>
      </c>
    </row>
    <row r="361" spans="2:6" ht="30" customHeight="1" outlineLevel="3" x14ac:dyDescent="0.2">
      <c r="B361" s="13">
        <f t="shared" si="5"/>
        <v>358</v>
      </c>
      <c r="C361" s="14" t="s">
        <v>717</v>
      </c>
      <c r="D361" s="15" t="s">
        <v>1071</v>
      </c>
      <c r="E361" s="15" t="s">
        <v>718</v>
      </c>
      <c r="F361" s="15" t="s">
        <v>839</v>
      </c>
    </row>
    <row r="362" spans="2:6" ht="30" customHeight="1" outlineLevel="2" x14ac:dyDescent="0.2">
      <c r="B362" s="11">
        <f t="shared" si="5"/>
        <v>359</v>
      </c>
      <c r="C362" s="12" t="s">
        <v>719</v>
      </c>
      <c r="D362" s="97" t="s">
        <v>1314</v>
      </c>
      <c r="E362" s="12" t="s">
        <v>720</v>
      </c>
      <c r="F362" s="97" t="s">
        <v>839</v>
      </c>
    </row>
    <row r="363" spans="2:6" ht="30" customHeight="1" outlineLevel="1" x14ac:dyDescent="0.2">
      <c r="B363" s="9">
        <f t="shared" si="5"/>
        <v>360</v>
      </c>
      <c r="C363" s="10" t="s">
        <v>721</v>
      </c>
      <c r="D363" s="67" t="s">
        <v>1059</v>
      </c>
      <c r="E363" s="10" t="s">
        <v>722</v>
      </c>
      <c r="F363" s="67" t="s">
        <v>839</v>
      </c>
    </row>
    <row r="364" spans="2:6" ht="30" customHeight="1" outlineLevel="2" x14ac:dyDescent="0.2">
      <c r="B364" s="11">
        <f t="shared" si="5"/>
        <v>361</v>
      </c>
      <c r="C364" s="12" t="s">
        <v>723</v>
      </c>
      <c r="D364" s="97" t="s">
        <v>1221</v>
      </c>
      <c r="E364" s="12" t="s">
        <v>724</v>
      </c>
      <c r="F364" s="97" t="s">
        <v>839</v>
      </c>
    </row>
    <row r="365" spans="2:6" ht="30" customHeight="1" outlineLevel="2" x14ac:dyDescent="0.2">
      <c r="B365" s="11">
        <f t="shared" si="5"/>
        <v>362</v>
      </c>
      <c r="C365" s="12" t="s">
        <v>725</v>
      </c>
      <c r="D365" s="97" t="s">
        <v>1165</v>
      </c>
      <c r="E365" s="12" t="s">
        <v>726</v>
      </c>
      <c r="F365" s="97" t="s">
        <v>839</v>
      </c>
    </row>
    <row r="366" spans="2:6" ht="30" customHeight="1" outlineLevel="2" x14ac:dyDescent="0.2">
      <c r="B366" s="11">
        <f t="shared" si="5"/>
        <v>363</v>
      </c>
      <c r="C366" s="12" t="s">
        <v>727</v>
      </c>
      <c r="D366" s="97" t="s">
        <v>1062</v>
      </c>
      <c r="E366" s="12" t="s">
        <v>728</v>
      </c>
      <c r="F366" s="97" t="s">
        <v>839</v>
      </c>
    </row>
    <row r="367" spans="2:6" ht="30" customHeight="1" outlineLevel="3" x14ac:dyDescent="0.2">
      <c r="B367" s="13">
        <f t="shared" si="5"/>
        <v>364</v>
      </c>
      <c r="C367" s="14" t="s">
        <v>729</v>
      </c>
      <c r="D367" s="15" t="s">
        <v>1063</v>
      </c>
      <c r="E367" s="14" t="s">
        <v>730</v>
      </c>
      <c r="F367" s="15" t="s">
        <v>839</v>
      </c>
    </row>
    <row r="368" spans="2:6" ht="30" customHeight="1" outlineLevel="3" x14ac:dyDescent="0.2">
      <c r="B368" s="13">
        <f t="shared" si="5"/>
        <v>365</v>
      </c>
      <c r="C368" s="14" t="s">
        <v>731</v>
      </c>
      <c r="D368" s="15" t="s">
        <v>1164</v>
      </c>
      <c r="E368" s="15" t="s">
        <v>732</v>
      </c>
      <c r="F368" s="15" t="s">
        <v>839</v>
      </c>
    </row>
    <row r="369" spans="2:6" ht="30" customHeight="1" outlineLevel="3" x14ac:dyDescent="0.2">
      <c r="B369" s="13">
        <f t="shared" si="5"/>
        <v>366</v>
      </c>
      <c r="C369" s="14" t="s">
        <v>733</v>
      </c>
      <c r="D369" s="15" t="s">
        <v>1065</v>
      </c>
      <c r="E369" s="15" t="s">
        <v>34</v>
      </c>
      <c r="F369" s="15" t="s">
        <v>839</v>
      </c>
    </row>
    <row r="370" spans="2:6" ht="30" customHeight="1" outlineLevel="2" x14ac:dyDescent="0.2">
      <c r="B370" s="11">
        <f t="shared" si="5"/>
        <v>367</v>
      </c>
      <c r="C370" s="12" t="s">
        <v>734</v>
      </c>
      <c r="D370" s="97" t="s">
        <v>1166</v>
      </c>
      <c r="E370" s="12" t="s">
        <v>735</v>
      </c>
      <c r="F370" s="97" t="s">
        <v>839</v>
      </c>
    </row>
    <row r="371" spans="2:6" ht="30" customHeight="1" outlineLevel="3" x14ac:dyDescent="0.2">
      <c r="B371" s="13">
        <f t="shared" si="5"/>
        <v>368</v>
      </c>
      <c r="C371" s="14" t="s">
        <v>736</v>
      </c>
      <c r="D371" s="15" t="s">
        <v>1168</v>
      </c>
      <c r="E371" s="45" t="s">
        <v>737</v>
      </c>
      <c r="F371" s="45" t="s">
        <v>839</v>
      </c>
    </row>
    <row r="372" spans="2:6" ht="30" customHeight="1" outlineLevel="3" x14ac:dyDescent="0.2">
      <c r="B372" s="24">
        <f t="shared" si="5"/>
        <v>369</v>
      </c>
      <c r="C372" s="25" t="s">
        <v>738</v>
      </c>
      <c r="D372" s="44" t="s">
        <v>1315</v>
      </c>
      <c r="E372" s="44" t="s">
        <v>739</v>
      </c>
      <c r="F372" s="44" t="s">
        <v>839</v>
      </c>
    </row>
    <row r="373" spans="2:6" ht="30" customHeight="1" outlineLevel="3" x14ac:dyDescent="0.2">
      <c r="B373" s="46">
        <f t="shared" si="5"/>
        <v>370</v>
      </c>
      <c r="C373" s="47" t="s">
        <v>740</v>
      </c>
      <c r="D373" s="48" t="s">
        <v>1316</v>
      </c>
      <c r="E373" s="48" t="s">
        <v>741</v>
      </c>
      <c r="F373" s="48" t="s">
        <v>839</v>
      </c>
    </row>
    <row r="374" spans="2:6" ht="30" customHeight="1" outlineLevel="3" x14ac:dyDescent="0.2">
      <c r="B374" s="13">
        <f t="shared" si="5"/>
        <v>371</v>
      </c>
      <c r="C374" s="14" t="s">
        <v>742</v>
      </c>
      <c r="D374" s="15" t="s">
        <v>1167</v>
      </c>
      <c r="E374" s="15" t="s">
        <v>743</v>
      </c>
      <c r="F374" s="15" t="s">
        <v>839</v>
      </c>
    </row>
    <row r="375" spans="2:6" ht="30" customHeight="1" outlineLevel="3" x14ac:dyDescent="0.2">
      <c r="B375" s="46">
        <f t="shared" si="5"/>
        <v>372</v>
      </c>
      <c r="C375" s="47" t="s">
        <v>744</v>
      </c>
      <c r="D375" s="48" t="s">
        <v>1317</v>
      </c>
      <c r="E375" s="49" t="s">
        <v>745</v>
      </c>
      <c r="F375" s="49" t="s">
        <v>839</v>
      </c>
    </row>
    <row r="376" spans="2:6" ht="30" customHeight="1" outlineLevel="2" x14ac:dyDescent="0.2">
      <c r="B376" s="11">
        <f t="shared" si="5"/>
        <v>373</v>
      </c>
      <c r="C376" s="12" t="s">
        <v>746</v>
      </c>
      <c r="D376" s="97" t="s">
        <v>1060</v>
      </c>
      <c r="E376" s="12" t="s">
        <v>747</v>
      </c>
      <c r="F376" s="97" t="s">
        <v>839</v>
      </c>
    </row>
    <row r="377" spans="2:6" ht="30" customHeight="1" outlineLevel="3" x14ac:dyDescent="0.2">
      <c r="B377" s="13">
        <f t="shared" si="5"/>
        <v>374</v>
      </c>
      <c r="C377" s="14" t="s">
        <v>748</v>
      </c>
      <c r="D377" s="15" t="s">
        <v>1061</v>
      </c>
      <c r="E377" s="15" t="s">
        <v>749</v>
      </c>
      <c r="F377" s="15" t="s">
        <v>839</v>
      </c>
    </row>
    <row r="378" spans="2:6" ht="30" customHeight="1" outlineLevel="3" x14ac:dyDescent="0.2">
      <c r="B378" s="13">
        <f t="shared" si="5"/>
        <v>375</v>
      </c>
      <c r="C378" s="14" t="s">
        <v>750</v>
      </c>
      <c r="D378" s="15" t="s">
        <v>1169</v>
      </c>
      <c r="E378" s="15" t="s">
        <v>751</v>
      </c>
      <c r="F378" s="15" t="s">
        <v>839</v>
      </c>
    </row>
    <row r="379" spans="2:6" ht="30" customHeight="1" outlineLevel="3" x14ac:dyDescent="0.2">
      <c r="B379" s="13">
        <f t="shared" si="5"/>
        <v>376</v>
      </c>
      <c r="C379" s="14" t="s">
        <v>752</v>
      </c>
      <c r="D379" s="15" t="s">
        <v>1163</v>
      </c>
      <c r="E379" s="14" t="s">
        <v>753</v>
      </c>
      <c r="F379" s="15" t="s">
        <v>839</v>
      </c>
    </row>
    <row r="380" spans="2:6" ht="30" customHeight="1" outlineLevel="1" x14ac:dyDescent="0.2">
      <c r="B380" s="9">
        <f t="shared" si="5"/>
        <v>377</v>
      </c>
      <c r="C380" s="10" t="s">
        <v>754</v>
      </c>
      <c r="D380" s="67" t="s">
        <v>845</v>
      </c>
      <c r="E380" s="10" t="s">
        <v>755</v>
      </c>
      <c r="F380" s="67" t="s">
        <v>839</v>
      </c>
    </row>
    <row r="381" spans="2:6" ht="30" customHeight="1" outlineLevel="2" x14ac:dyDescent="0.2">
      <c r="B381" s="11">
        <f t="shared" si="5"/>
        <v>378</v>
      </c>
      <c r="C381" s="12" t="s">
        <v>756</v>
      </c>
      <c r="D381" s="97" t="s">
        <v>1318</v>
      </c>
      <c r="E381" s="12" t="s">
        <v>757</v>
      </c>
      <c r="F381" s="97" t="s">
        <v>839</v>
      </c>
    </row>
    <row r="382" spans="2:6" ht="30" customHeight="1" outlineLevel="2" x14ac:dyDescent="0.2">
      <c r="B382" s="11">
        <f t="shared" si="5"/>
        <v>379</v>
      </c>
      <c r="C382" s="12" t="s">
        <v>758</v>
      </c>
      <c r="D382" s="97" t="s">
        <v>846</v>
      </c>
      <c r="E382" s="12" t="s">
        <v>759</v>
      </c>
      <c r="F382" s="97" t="s">
        <v>839</v>
      </c>
    </row>
    <row r="383" spans="2:6" ht="30" customHeight="1" outlineLevel="3" x14ac:dyDescent="0.2">
      <c r="B383" s="13">
        <f t="shared" si="5"/>
        <v>380</v>
      </c>
      <c r="C383" s="14" t="s">
        <v>760</v>
      </c>
      <c r="D383" s="15" t="s">
        <v>847</v>
      </c>
      <c r="E383" s="15" t="s">
        <v>761</v>
      </c>
      <c r="F383" s="15" t="s">
        <v>839</v>
      </c>
    </row>
    <row r="384" spans="2:6" ht="30" customHeight="1" outlineLevel="3" x14ac:dyDescent="0.2">
      <c r="B384" s="13">
        <f t="shared" si="5"/>
        <v>381</v>
      </c>
      <c r="C384" s="14" t="s">
        <v>762</v>
      </c>
      <c r="D384" s="15" t="s">
        <v>848</v>
      </c>
      <c r="E384" s="15" t="s">
        <v>763</v>
      </c>
      <c r="F384" s="15" t="s">
        <v>839</v>
      </c>
    </row>
    <row r="385" spans="2:6" ht="30" customHeight="1" outlineLevel="3" x14ac:dyDescent="0.2">
      <c r="B385" s="13">
        <f t="shared" si="5"/>
        <v>382</v>
      </c>
      <c r="C385" s="14" t="s">
        <v>764</v>
      </c>
      <c r="D385" s="15" t="s">
        <v>849</v>
      </c>
      <c r="E385" s="15" t="s">
        <v>765</v>
      </c>
      <c r="F385" s="15" t="s">
        <v>839</v>
      </c>
    </row>
    <row r="386" spans="2:6" ht="30" customHeight="1" outlineLevel="3" x14ac:dyDescent="0.2">
      <c r="B386" s="13">
        <f t="shared" si="5"/>
        <v>383</v>
      </c>
      <c r="C386" s="14" t="s">
        <v>766</v>
      </c>
      <c r="D386" s="15" t="s">
        <v>850</v>
      </c>
      <c r="E386" s="15" t="s">
        <v>767</v>
      </c>
      <c r="F386" s="15" t="s">
        <v>839</v>
      </c>
    </row>
    <row r="387" spans="2:6" ht="30" customHeight="1" outlineLevel="3" x14ac:dyDescent="0.2">
      <c r="B387" s="13">
        <f t="shared" si="5"/>
        <v>384</v>
      </c>
      <c r="C387" s="14" t="s">
        <v>768</v>
      </c>
      <c r="D387" s="15" t="s">
        <v>1149</v>
      </c>
      <c r="E387" s="15" t="s">
        <v>769</v>
      </c>
      <c r="F387" s="15" t="s">
        <v>839</v>
      </c>
    </row>
    <row r="388" spans="2:6" ht="30" customHeight="1" outlineLevel="2" x14ac:dyDescent="0.2">
      <c r="B388" s="11">
        <f t="shared" si="5"/>
        <v>385</v>
      </c>
      <c r="C388" s="12" t="s">
        <v>770</v>
      </c>
      <c r="D388" s="97" t="s">
        <v>1319</v>
      </c>
      <c r="E388" s="12" t="s">
        <v>771</v>
      </c>
      <c r="F388" s="97" t="s">
        <v>839</v>
      </c>
    </row>
    <row r="389" spans="2:6" ht="30" customHeight="1" outlineLevel="2" x14ac:dyDescent="0.2">
      <c r="B389" s="11">
        <f t="shared" si="5"/>
        <v>386</v>
      </c>
      <c r="C389" s="12" t="s">
        <v>772</v>
      </c>
      <c r="D389" s="97" t="s">
        <v>1226</v>
      </c>
      <c r="E389" s="12" t="s">
        <v>773</v>
      </c>
      <c r="F389" s="97" t="s">
        <v>839</v>
      </c>
    </row>
    <row r="390" spans="2:6" ht="30" customHeight="1" outlineLevel="2" x14ac:dyDescent="0.2">
      <c r="B390" s="11">
        <f t="shared" ref="B390:B404" si="6">B389+1</f>
        <v>387</v>
      </c>
      <c r="C390" s="12" t="s">
        <v>774</v>
      </c>
      <c r="D390" s="97" t="s">
        <v>1320</v>
      </c>
      <c r="E390" s="12" t="s">
        <v>775</v>
      </c>
      <c r="F390" s="97" t="s">
        <v>839</v>
      </c>
    </row>
    <row r="391" spans="2:6" ht="30" customHeight="1" outlineLevel="2" x14ac:dyDescent="0.2">
      <c r="B391" s="11">
        <f t="shared" si="6"/>
        <v>388</v>
      </c>
      <c r="C391" s="12" t="s">
        <v>776</v>
      </c>
      <c r="D391" s="97" t="s">
        <v>1321</v>
      </c>
      <c r="E391" s="12" t="s">
        <v>777</v>
      </c>
      <c r="F391" s="97" t="s">
        <v>839</v>
      </c>
    </row>
    <row r="392" spans="2:6" ht="30" customHeight="1" outlineLevel="2" x14ac:dyDescent="0.2">
      <c r="B392" s="11">
        <f t="shared" si="6"/>
        <v>389</v>
      </c>
      <c r="C392" s="12" t="s">
        <v>778</v>
      </c>
      <c r="D392" s="97" t="s">
        <v>1322</v>
      </c>
      <c r="E392" s="12" t="s">
        <v>779</v>
      </c>
      <c r="F392" s="97" t="s">
        <v>839</v>
      </c>
    </row>
    <row r="393" spans="2:6" ht="30" customHeight="1" outlineLevel="1" x14ac:dyDescent="0.2">
      <c r="B393" s="9">
        <f t="shared" si="6"/>
        <v>390</v>
      </c>
      <c r="C393" s="10" t="s">
        <v>780</v>
      </c>
      <c r="D393" s="67" t="s">
        <v>945</v>
      </c>
      <c r="E393" s="10" t="s">
        <v>781</v>
      </c>
      <c r="F393" s="67" t="s">
        <v>839</v>
      </c>
    </row>
    <row r="394" spans="2:6" ht="30" customHeight="1" outlineLevel="2" x14ac:dyDescent="0.2">
      <c r="B394" s="11">
        <f t="shared" si="6"/>
        <v>391</v>
      </c>
      <c r="C394" s="12" t="s">
        <v>782</v>
      </c>
      <c r="D394" s="97" t="s">
        <v>946</v>
      </c>
      <c r="E394" s="12" t="s">
        <v>783</v>
      </c>
      <c r="F394" s="97" t="s">
        <v>839</v>
      </c>
    </row>
    <row r="395" spans="2:6" ht="30" customHeight="1" outlineLevel="2" x14ac:dyDescent="0.2">
      <c r="B395" s="11">
        <f t="shared" si="6"/>
        <v>392</v>
      </c>
      <c r="C395" s="12" t="s">
        <v>784</v>
      </c>
      <c r="D395" s="97" t="s">
        <v>947</v>
      </c>
      <c r="E395" s="12" t="s">
        <v>785</v>
      </c>
      <c r="F395" s="97" t="s">
        <v>839</v>
      </c>
    </row>
    <row r="396" spans="2:6" ht="30" customHeight="1" outlineLevel="2" x14ac:dyDescent="0.2">
      <c r="B396" s="11">
        <f t="shared" si="6"/>
        <v>393</v>
      </c>
      <c r="C396" s="12" t="s">
        <v>786</v>
      </c>
      <c r="D396" s="97" t="s">
        <v>1211</v>
      </c>
      <c r="E396" s="12" t="s">
        <v>787</v>
      </c>
      <c r="F396" s="97" t="s">
        <v>839</v>
      </c>
    </row>
    <row r="397" spans="2:6" ht="30" customHeight="1" outlineLevel="2" x14ac:dyDescent="0.2">
      <c r="B397" s="11">
        <f t="shared" si="6"/>
        <v>394</v>
      </c>
      <c r="C397" s="12" t="s">
        <v>788</v>
      </c>
      <c r="D397" s="97" t="s">
        <v>1215</v>
      </c>
      <c r="E397" s="12" t="s">
        <v>789</v>
      </c>
      <c r="F397" s="97" t="s">
        <v>839</v>
      </c>
    </row>
    <row r="398" spans="2:6" ht="30" customHeight="1" outlineLevel="1" x14ac:dyDescent="0.2">
      <c r="B398" s="9">
        <f t="shared" si="6"/>
        <v>395</v>
      </c>
      <c r="C398" s="10" t="s">
        <v>790</v>
      </c>
      <c r="D398" s="67" t="s">
        <v>861</v>
      </c>
      <c r="E398" s="10" t="s">
        <v>791</v>
      </c>
      <c r="F398" s="67" t="s">
        <v>839</v>
      </c>
    </row>
    <row r="399" spans="2:6" ht="30" customHeight="1" outlineLevel="2" x14ac:dyDescent="0.2">
      <c r="B399" s="11">
        <f t="shared" si="6"/>
        <v>396</v>
      </c>
      <c r="C399" s="12" t="s">
        <v>792</v>
      </c>
      <c r="D399" s="97" t="s">
        <v>862</v>
      </c>
      <c r="E399" s="12" t="s">
        <v>793</v>
      </c>
      <c r="F399" s="97" t="s">
        <v>839</v>
      </c>
    </row>
    <row r="400" spans="2:6" ht="30" customHeight="1" outlineLevel="3" x14ac:dyDescent="0.2">
      <c r="B400" s="13">
        <f t="shared" si="6"/>
        <v>397</v>
      </c>
      <c r="C400" s="14" t="s">
        <v>794</v>
      </c>
      <c r="D400" s="15" t="s">
        <v>863</v>
      </c>
      <c r="E400" s="15" t="s">
        <v>795</v>
      </c>
      <c r="F400" s="15" t="s">
        <v>839</v>
      </c>
    </row>
    <row r="401" spans="2:6" ht="30" customHeight="1" outlineLevel="3" x14ac:dyDescent="0.2">
      <c r="B401" s="13">
        <f t="shared" si="6"/>
        <v>398</v>
      </c>
      <c r="C401" s="14" t="s">
        <v>796</v>
      </c>
      <c r="D401" s="15" t="s">
        <v>864</v>
      </c>
      <c r="E401" s="15" t="s">
        <v>797</v>
      </c>
      <c r="F401" s="15" t="s">
        <v>839</v>
      </c>
    </row>
    <row r="402" spans="2:6" ht="30" customHeight="1" outlineLevel="2" x14ac:dyDescent="0.2">
      <c r="B402" s="11">
        <f t="shared" si="6"/>
        <v>399</v>
      </c>
      <c r="C402" s="12" t="s">
        <v>798</v>
      </c>
      <c r="D402" s="97" t="s">
        <v>1218</v>
      </c>
      <c r="E402" s="12" t="s">
        <v>799</v>
      </c>
      <c r="F402" s="97" t="s">
        <v>839</v>
      </c>
    </row>
    <row r="403" spans="2:6" ht="30" customHeight="1" outlineLevel="3" x14ac:dyDescent="0.2">
      <c r="B403" s="13">
        <f t="shared" si="6"/>
        <v>400</v>
      </c>
      <c r="C403" s="14" t="s">
        <v>800</v>
      </c>
      <c r="D403" s="15" t="s">
        <v>1231</v>
      </c>
      <c r="E403" s="15" t="s">
        <v>801</v>
      </c>
      <c r="F403" s="15" t="s">
        <v>839</v>
      </c>
    </row>
    <row r="404" spans="2:6" ht="30" customHeight="1" outlineLevel="3" x14ac:dyDescent="0.2">
      <c r="B404" s="13">
        <f t="shared" si="6"/>
        <v>401</v>
      </c>
      <c r="C404" s="14" t="s">
        <v>802</v>
      </c>
      <c r="D404" s="15" t="s">
        <v>1220</v>
      </c>
      <c r="E404" s="15" t="s">
        <v>803</v>
      </c>
      <c r="F404" s="15" t="s">
        <v>839</v>
      </c>
    </row>
    <row r="405" spans="2:6" ht="30" customHeight="1" x14ac:dyDescent="0.2">
      <c r="B405" s="7">
        <v>399</v>
      </c>
      <c r="C405" s="8" t="s">
        <v>804</v>
      </c>
      <c r="D405" s="96" t="s">
        <v>835</v>
      </c>
      <c r="E405" s="22" t="s">
        <v>805</v>
      </c>
      <c r="F405" s="102" t="s">
        <v>835</v>
      </c>
    </row>
    <row r="406" spans="2:6" ht="30" customHeight="1" outlineLevel="1" x14ac:dyDescent="0.2">
      <c r="B406" s="9">
        <v>400</v>
      </c>
      <c r="C406" s="10" t="s">
        <v>806</v>
      </c>
      <c r="D406" s="67" t="s">
        <v>836</v>
      </c>
      <c r="E406" s="10" t="s">
        <v>807</v>
      </c>
      <c r="F406" s="67" t="s">
        <v>835</v>
      </c>
    </row>
    <row r="407" spans="2:6" ht="30" customHeight="1" outlineLevel="1" x14ac:dyDescent="0.2">
      <c r="B407" s="9">
        <v>401</v>
      </c>
      <c r="C407" s="10" t="s">
        <v>808</v>
      </c>
      <c r="D407" s="67" t="s">
        <v>837</v>
      </c>
      <c r="E407" s="10" t="s">
        <v>809</v>
      </c>
      <c r="F407" s="67" t="s">
        <v>835</v>
      </c>
    </row>
    <row r="408" spans="2:6" ht="30" customHeight="1" outlineLevel="1" x14ac:dyDescent="0.2">
      <c r="B408" s="9">
        <v>402</v>
      </c>
      <c r="C408" s="10" t="s">
        <v>810</v>
      </c>
      <c r="D408" s="67" t="s">
        <v>838</v>
      </c>
      <c r="E408" s="10" t="s">
        <v>811</v>
      </c>
      <c r="F408" s="67" t="s">
        <v>835</v>
      </c>
    </row>
  </sheetData>
  <autoFilter ref="B3:E402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F4A0-BEDC-4ED8-90D3-A799A9C33FC2}">
  <dimension ref="A1:W441"/>
  <sheetViews>
    <sheetView topLeftCell="F84" workbookViewId="0">
      <selection activeCell="F13" sqref="F13"/>
    </sheetView>
  </sheetViews>
  <sheetFormatPr defaultColWidth="9.140625" defaultRowHeight="12.75" outlineLevelRow="4" x14ac:dyDescent="0.2"/>
  <cols>
    <col min="1" max="1" width="9.140625" style="4"/>
    <col min="2" max="2" width="12.140625" style="50" customWidth="1"/>
    <col min="3" max="3" width="15.140625" style="2" bestFit="1" customWidth="1"/>
    <col min="4" max="4" width="72.140625" style="66" customWidth="1"/>
    <col min="5" max="5" width="71.140625" style="3" customWidth="1"/>
    <col min="6" max="6" width="49.28515625" style="54" customWidth="1"/>
    <col min="7" max="7" width="52.42578125" style="4" bestFit="1" customWidth="1"/>
    <col min="8" max="16384" width="9.140625" style="4"/>
  </cols>
  <sheetData>
    <row r="1" spans="2:23" ht="26.25" customHeight="1" x14ac:dyDescent="0.2">
      <c r="B1" s="1" t="s">
        <v>0</v>
      </c>
    </row>
    <row r="3" spans="2:23" s="6" customFormat="1" ht="45" customHeight="1" x14ac:dyDescent="0.25">
      <c r="B3" s="5" t="s">
        <v>1</v>
      </c>
      <c r="C3" s="5" t="s">
        <v>2</v>
      </c>
      <c r="D3" s="95" t="s">
        <v>3</v>
      </c>
      <c r="E3" s="5" t="s">
        <v>4</v>
      </c>
      <c r="F3" s="95" t="s">
        <v>1327</v>
      </c>
    </row>
    <row r="4" spans="2:23" ht="30" customHeight="1" x14ac:dyDescent="0.2">
      <c r="B4" s="7">
        <v>1</v>
      </c>
      <c r="C4" s="8" t="s">
        <v>5</v>
      </c>
      <c r="D4" s="96" t="s">
        <v>851</v>
      </c>
      <c r="E4" s="8" t="s">
        <v>6</v>
      </c>
      <c r="F4" s="96" t="s">
        <v>851</v>
      </c>
      <c r="G4" s="4" t="s">
        <v>852</v>
      </c>
      <c r="H4" s="4" t="s">
        <v>867</v>
      </c>
    </row>
    <row r="5" spans="2:23" ht="30" hidden="1" customHeight="1" outlineLevel="1" x14ac:dyDescent="0.2">
      <c r="B5" s="9">
        <f>B4+1</f>
        <v>2</v>
      </c>
      <c r="C5" s="10" t="s">
        <v>7</v>
      </c>
      <c r="D5" s="67" t="s">
        <v>852</v>
      </c>
      <c r="E5" s="10" t="s">
        <v>8</v>
      </c>
      <c r="F5" s="67" t="s">
        <v>851</v>
      </c>
    </row>
    <row r="6" spans="2:23" ht="30" hidden="1" customHeight="1" outlineLevel="2" x14ac:dyDescent="0.2">
      <c r="B6" s="11">
        <f t="shared" ref="B6:B69" si="0">B5+1</f>
        <v>3</v>
      </c>
      <c r="C6" s="12"/>
      <c r="D6" s="97"/>
      <c r="E6" s="12"/>
      <c r="F6" s="97"/>
    </row>
    <row r="7" spans="2:23" ht="30" hidden="1" customHeight="1" outlineLevel="3" x14ac:dyDescent="0.2">
      <c r="B7" s="13">
        <f t="shared" si="0"/>
        <v>4</v>
      </c>
      <c r="C7" s="14"/>
      <c r="D7" s="15"/>
      <c r="E7" s="15"/>
      <c r="F7" s="15"/>
    </row>
    <row r="8" spans="2:23" ht="30" hidden="1" customHeight="1" outlineLevel="3" x14ac:dyDescent="0.2">
      <c r="B8" s="13">
        <f t="shared" si="0"/>
        <v>5</v>
      </c>
      <c r="C8" s="14"/>
      <c r="D8" s="15"/>
      <c r="E8" s="15"/>
      <c r="F8" s="15"/>
    </row>
    <row r="9" spans="2:23" ht="30" hidden="1" customHeight="1" outlineLevel="3" x14ac:dyDescent="0.2">
      <c r="B9" s="13">
        <f t="shared" si="0"/>
        <v>6</v>
      </c>
      <c r="C9" s="14"/>
      <c r="D9" s="15"/>
      <c r="E9" s="15"/>
      <c r="F9" s="15"/>
    </row>
    <row r="10" spans="2:23" ht="30" hidden="1" customHeight="1" outlineLevel="3" x14ac:dyDescent="0.2">
      <c r="B10" s="13">
        <f t="shared" si="0"/>
        <v>7</v>
      </c>
      <c r="C10" s="14"/>
      <c r="D10" s="15"/>
      <c r="E10" s="15"/>
      <c r="F10" s="15"/>
    </row>
    <row r="11" spans="2:23" ht="30" hidden="1" customHeight="1" outlineLevel="3" x14ac:dyDescent="0.2">
      <c r="B11" s="13">
        <f t="shared" si="0"/>
        <v>8</v>
      </c>
      <c r="C11" s="14"/>
      <c r="D11" s="15"/>
      <c r="E11" s="15"/>
      <c r="F11" s="15"/>
    </row>
    <row r="12" spans="2:23" ht="30" hidden="1" customHeight="1" outlineLevel="3" x14ac:dyDescent="0.2">
      <c r="B12" s="13">
        <f t="shared" si="0"/>
        <v>9</v>
      </c>
      <c r="C12" s="14"/>
      <c r="D12" s="15"/>
      <c r="E12" s="15"/>
      <c r="F12" s="15"/>
    </row>
    <row r="13" spans="2:23" ht="30" hidden="1" customHeight="1" outlineLevel="2" collapsed="1" x14ac:dyDescent="0.2">
      <c r="B13" s="11">
        <f t="shared" si="0"/>
        <v>10</v>
      </c>
      <c r="C13" s="12"/>
      <c r="D13" s="97"/>
      <c r="E13" s="12"/>
      <c r="F13" s="97"/>
      <c r="R13" s="4">
        <v>25000</v>
      </c>
      <c r="S13" s="4">
        <v>7.5</v>
      </c>
      <c r="T13" s="4">
        <v>15</v>
      </c>
      <c r="U13" s="4">
        <v>30</v>
      </c>
      <c r="V13" s="4">
        <v>16.5</v>
      </c>
      <c r="W13" s="4">
        <v>412500</v>
      </c>
    </row>
    <row r="14" spans="2:23" ht="30" hidden="1" customHeight="1" outlineLevel="2" x14ac:dyDescent="0.2">
      <c r="B14" s="16">
        <f t="shared" si="0"/>
        <v>11</v>
      </c>
      <c r="C14" s="17"/>
      <c r="D14" s="31"/>
      <c r="E14" s="17"/>
      <c r="F14" s="31"/>
    </row>
    <row r="15" spans="2:23" ht="30" hidden="1" customHeight="1" outlineLevel="3" x14ac:dyDescent="0.2">
      <c r="B15" s="18">
        <f t="shared" si="0"/>
        <v>12</v>
      </c>
      <c r="C15" s="19"/>
      <c r="D15" s="98"/>
      <c r="E15" s="15"/>
      <c r="F15" s="15"/>
    </row>
    <row r="16" spans="2:23" ht="30" hidden="1" customHeight="1" outlineLevel="3" x14ac:dyDescent="0.2">
      <c r="B16" s="18">
        <f t="shared" si="0"/>
        <v>13</v>
      </c>
      <c r="C16" s="19"/>
      <c r="D16" s="98"/>
      <c r="E16" s="15"/>
      <c r="F16" s="15"/>
    </row>
    <row r="17" spans="2:6" ht="30" hidden="1" customHeight="1" outlineLevel="3" x14ac:dyDescent="0.2">
      <c r="B17" s="18">
        <f t="shared" si="0"/>
        <v>14</v>
      </c>
      <c r="C17" s="19"/>
      <c r="D17" s="98"/>
      <c r="E17" s="15"/>
      <c r="F17" s="15"/>
    </row>
    <row r="18" spans="2:6" ht="30" hidden="1" customHeight="1" outlineLevel="3" x14ac:dyDescent="0.2">
      <c r="B18" s="18">
        <f t="shared" si="0"/>
        <v>15</v>
      </c>
      <c r="C18" s="19"/>
      <c r="D18" s="98"/>
      <c r="E18" s="15"/>
      <c r="F18" s="15"/>
    </row>
    <row r="19" spans="2:6" ht="30" hidden="1" customHeight="1" outlineLevel="1" collapsed="1" x14ac:dyDescent="0.2">
      <c r="B19" s="9">
        <f t="shared" si="0"/>
        <v>16</v>
      </c>
      <c r="C19" s="10" t="s">
        <v>35</v>
      </c>
      <c r="D19" s="67" t="s">
        <v>867</v>
      </c>
      <c r="E19" s="10" t="s">
        <v>36</v>
      </c>
      <c r="F19" s="67" t="s">
        <v>851</v>
      </c>
    </row>
    <row r="20" spans="2:6" ht="30" hidden="1" customHeight="1" outlineLevel="2" x14ac:dyDescent="0.2">
      <c r="B20" s="20">
        <f t="shared" si="0"/>
        <v>17</v>
      </c>
      <c r="C20" s="21"/>
      <c r="D20" s="99"/>
      <c r="E20" s="21"/>
      <c r="F20" s="99"/>
    </row>
    <row r="21" spans="2:6" ht="30" hidden="1" customHeight="1" outlineLevel="2" x14ac:dyDescent="0.2">
      <c r="B21" s="11">
        <f t="shared" si="0"/>
        <v>18</v>
      </c>
      <c r="C21" s="12"/>
      <c r="D21" s="97"/>
      <c r="E21" s="12"/>
      <c r="F21" s="97"/>
    </row>
    <row r="22" spans="2:6" ht="30" hidden="1" customHeight="1" outlineLevel="3" collapsed="1" x14ac:dyDescent="0.2">
      <c r="B22" s="13">
        <f t="shared" si="0"/>
        <v>19</v>
      </c>
      <c r="C22" s="14"/>
      <c r="D22" s="15"/>
      <c r="E22" s="15"/>
      <c r="F22" s="15"/>
    </row>
    <row r="23" spans="2:6" ht="30" hidden="1" customHeight="1" outlineLevel="3" x14ac:dyDescent="0.2">
      <c r="B23" s="13">
        <f t="shared" si="0"/>
        <v>20</v>
      </c>
      <c r="C23" s="14"/>
      <c r="D23" s="15"/>
      <c r="E23" s="15"/>
      <c r="F23" s="15"/>
    </row>
    <row r="24" spans="2:6" ht="30" hidden="1" customHeight="1" outlineLevel="3" x14ac:dyDescent="0.2">
      <c r="B24" s="13">
        <f t="shared" si="0"/>
        <v>21</v>
      </c>
      <c r="C24" s="14"/>
      <c r="D24" s="15"/>
      <c r="E24" s="14"/>
      <c r="F24" s="15"/>
    </row>
    <row r="25" spans="2:6" ht="30" hidden="1" customHeight="1" outlineLevel="3" x14ac:dyDescent="0.2">
      <c r="B25" s="13">
        <f t="shared" si="0"/>
        <v>22</v>
      </c>
      <c r="C25" s="14"/>
      <c r="D25" s="15"/>
      <c r="E25" s="14"/>
      <c r="F25" s="15"/>
    </row>
    <row r="26" spans="2:6" ht="30" hidden="1" customHeight="1" outlineLevel="3" x14ac:dyDescent="0.2">
      <c r="B26" s="13">
        <f t="shared" si="0"/>
        <v>23</v>
      </c>
      <c r="C26" s="14"/>
      <c r="D26" s="15"/>
      <c r="E26" s="14"/>
      <c r="F26" s="15"/>
    </row>
    <row r="27" spans="2:6" ht="30" hidden="1" customHeight="1" outlineLevel="3" x14ac:dyDescent="0.2">
      <c r="B27" s="13">
        <f t="shared" si="0"/>
        <v>24</v>
      </c>
      <c r="C27" s="14"/>
      <c r="D27" s="15"/>
      <c r="E27" s="14"/>
      <c r="F27" s="15"/>
    </row>
    <row r="28" spans="2:6" ht="30" hidden="1" customHeight="1" outlineLevel="3" x14ac:dyDescent="0.2">
      <c r="B28" s="13">
        <f t="shared" si="0"/>
        <v>25</v>
      </c>
      <c r="C28" s="14"/>
      <c r="D28" s="15"/>
      <c r="E28" s="14"/>
      <c r="F28" s="15"/>
    </row>
    <row r="29" spans="2:6" ht="30" hidden="1" customHeight="1" outlineLevel="3" x14ac:dyDescent="0.2">
      <c r="B29" s="13">
        <f t="shared" si="0"/>
        <v>26</v>
      </c>
      <c r="C29" s="14"/>
      <c r="D29" s="15"/>
      <c r="E29" s="14"/>
      <c r="F29" s="15"/>
    </row>
    <row r="30" spans="2:6" ht="30" hidden="1" customHeight="1" outlineLevel="3" x14ac:dyDescent="0.2">
      <c r="B30" s="13">
        <f t="shared" si="0"/>
        <v>27</v>
      </c>
      <c r="C30" s="14"/>
      <c r="D30" s="15"/>
      <c r="E30" s="14"/>
      <c r="F30" s="15"/>
    </row>
    <row r="31" spans="2:6" ht="30" hidden="1" customHeight="1" outlineLevel="3" x14ac:dyDescent="0.2">
      <c r="B31" s="13">
        <f t="shared" si="0"/>
        <v>28</v>
      </c>
      <c r="C31" s="14"/>
      <c r="D31" s="15"/>
      <c r="E31" s="14"/>
      <c r="F31" s="15"/>
    </row>
    <row r="32" spans="2:6" ht="30" hidden="1" customHeight="1" outlineLevel="3" x14ac:dyDescent="0.2">
      <c r="B32" s="13">
        <f t="shared" si="0"/>
        <v>29</v>
      </c>
      <c r="C32" s="14"/>
      <c r="D32" s="15"/>
      <c r="E32" s="14"/>
      <c r="F32" s="15"/>
    </row>
    <row r="33" spans="2:10" ht="30" customHeight="1" collapsed="1" x14ac:dyDescent="0.2">
      <c r="B33" s="7">
        <f t="shared" si="0"/>
        <v>30</v>
      </c>
      <c r="C33" s="8" t="s">
        <v>63</v>
      </c>
      <c r="D33" s="96" t="s">
        <v>870</v>
      </c>
      <c r="E33" s="22" t="s">
        <v>64</v>
      </c>
      <c r="F33" s="102" t="s">
        <v>870</v>
      </c>
      <c r="G33" s="4" t="s">
        <v>874</v>
      </c>
      <c r="H33" s="4" t="s">
        <v>881</v>
      </c>
      <c r="I33" s="4" t="s">
        <v>908</v>
      </c>
      <c r="J33" s="4" t="s">
        <v>871</v>
      </c>
    </row>
    <row r="34" spans="2:10" ht="30" hidden="1" customHeight="1" outlineLevel="1" x14ac:dyDescent="0.2">
      <c r="B34" s="9">
        <f t="shared" si="0"/>
        <v>31</v>
      </c>
      <c r="C34" s="10" t="s">
        <v>65</v>
      </c>
      <c r="D34" s="67" t="s">
        <v>874</v>
      </c>
      <c r="E34" s="10" t="s">
        <v>66</v>
      </c>
      <c r="F34" s="67" t="s">
        <v>870</v>
      </c>
      <c r="I34" s="32"/>
    </row>
    <row r="35" spans="2:10" ht="30" hidden="1" customHeight="1" outlineLevel="2" x14ac:dyDescent="0.2">
      <c r="B35" s="11">
        <f t="shared" si="0"/>
        <v>32</v>
      </c>
      <c r="C35" s="12"/>
      <c r="D35" s="97"/>
      <c r="E35" s="23"/>
      <c r="F35" s="103"/>
    </row>
    <row r="36" spans="2:10" ht="30" hidden="1" customHeight="1" outlineLevel="3" x14ac:dyDescent="0.2">
      <c r="B36" s="13">
        <f t="shared" si="0"/>
        <v>33</v>
      </c>
      <c r="C36" s="14"/>
      <c r="D36" s="15"/>
      <c r="E36" s="15"/>
      <c r="F36" s="15"/>
    </row>
    <row r="37" spans="2:10" ht="30" hidden="1" customHeight="1" outlineLevel="3" x14ac:dyDescent="0.2">
      <c r="B37" s="13">
        <f t="shared" si="0"/>
        <v>34</v>
      </c>
      <c r="C37" s="14"/>
      <c r="D37" s="15"/>
      <c r="E37" s="15"/>
      <c r="F37" s="15"/>
    </row>
    <row r="38" spans="2:10" ht="30" hidden="1" customHeight="1" outlineLevel="3" x14ac:dyDescent="0.2">
      <c r="B38" s="13">
        <f t="shared" si="0"/>
        <v>35</v>
      </c>
      <c r="C38" s="14"/>
      <c r="D38" s="15"/>
      <c r="E38" s="14"/>
      <c r="F38" s="15"/>
    </row>
    <row r="39" spans="2:10" ht="30" hidden="1" customHeight="1" outlineLevel="3" x14ac:dyDescent="0.2">
      <c r="B39" s="13">
        <f t="shared" si="0"/>
        <v>36</v>
      </c>
      <c r="C39" s="14"/>
      <c r="D39" s="15"/>
      <c r="E39" s="14"/>
      <c r="F39" s="15"/>
    </row>
    <row r="40" spans="2:10" ht="30" hidden="1" customHeight="1" outlineLevel="3" x14ac:dyDescent="0.2">
      <c r="B40" s="13">
        <f t="shared" si="0"/>
        <v>37</v>
      </c>
      <c r="C40" s="14"/>
      <c r="D40" s="15"/>
      <c r="E40" s="14"/>
      <c r="F40" s="15"/>
    </row>
    <row r="41" spans="2:10" ht="30" hidden="1" customHeight="1" outlineLevel="3" x14ac:dyDescent="0.2">
      <c r="B41" s="13">
        <f t="shared" si="0"/>
        <v>38</v>
      </c>
      <c r="C41" s="14"/>
      <c r="D41" s="15"/>
      <c r="E41" s="14"/>
      <c r="F41" s="15"/>
      <c r="G41" s="32"/>
    </row>
    <row r="42" spans="2:10" ht="30" hidden="1" customHeight="1" outlineLevel="3" x14ac:dyDescent="0.2">
      <c r="B42" s="13">
        <f t="shared" si="0"/>
        <v>39</v>
      </c>
      <c r="C42" s="14"/>
      <c r="D42" s="15"/>
      <c r="E42" s="14"/>
      <c r="F42" s="15"/>
    </row>
    <row r="43" spans="2:10" ht="30" hidden="1" customHeight="1" outlineLevel="3" x14ac:dyDescent="0.2">
      <c r="B43" s="13">
        <f t="shared" si="0"/>
        <v>40</v>
      </c>
      <c r="C43" s="14"/>
      <c r="D43" s="15"/>
      <c r="E43" s="14"/>
      <c r="F43" s="15"/>
    </row>
    <row r="44" spans="2:10" ht="30" hidden="1" customHeight="1" outlineLevel="3" x14ac:dyDescent="0.2">
      <c r="B44" s="13">
        <f t="shared" si="0"/>
        <v>41</v>
      </c>
      <c r="C44" s="14"/>
      <c r="D44" s="15"/>
      <c r="E44" s="14"/>
      <c r="F44" s="15"/>
    </row>
    <row r="45" spans="2:10" ht="30" hidden="1" customHeight="1" outlineLevel="3" x14ac:dyDescent="0.2">
      <c r="B45" s="13">
        <f t="shared" si="0"/>
        <v>42</v>
      </c>
      <c r="C45" s="14"/>
      <c r="D45" s="15"/>
      <c r="E45" s="14"/>
      <c r="F45" s="15"/>
    </row>
    <row r="46" spans="2:10" ht="30" hidden="1" customHeight="1" outlineLevel="3" x14ac:dyDescent="0.2">
      <c r="B46" s="13">
        <f t="shared" si="0"/>
        <v>43</v>
      </c>
      <c r="C46" s="14"/>
      <c r="D46" s="15"/>
      <c r="E46" s="14"/>
      <c r="F46" s="15"/>
    </row>
    <row r="47" spans="2:10" ht="30" hidden="1" customHeight="1" outlineLevel="3" x14ac:dyDescent="0.2">
      <c r="B47" s="13">
        <f t="shared" si="0"/>
        <v>44</v>
      </c>
      <c r="C47" s="14"/>
      <c r="D47" s="15"/>
      <c r="E47" s="14"/>
      <c r="F47" s="15"/>
    </row>
    <row r="48" spans="2:10" ht="30" hidden="1" customHeight="1" outlineLevel="3" x14ac:dyDescent="0.2">
      <c r="B48" s="13">
        <f t="shared" si="0"/>
        <v>45</v>
      </c>
      <c r="C48" s="14"/>
      <c r="D48" s="15"/>
      <c r="E48" s="14"/>
      <c r="F48" s="15"/>
    </row>
    <row r="49" spans="1:6" ht="30" hidden="1" customHeight="1" outlineLevel="3" x14ac:dyDescent="0.2">
      <c r="B49" s="13">
        <f t="shared" si="0"/>
        <v>46</v>
      </c>
      <c r="C49" s="14"/>
      <c r="D49" s="15"/>
      <c r="E49" s="14"/>
      <c r="F49" s="15"/>
    </row>
    <row r="50" spans="1:6" ht="30" hidden="1" customHeight="1" outlineLevel="2" collapsed="1" x14ac:dyDescent="0.2">
      <c r="B50" s="11">
        <f t="shared" si="0"/>
        <v>47</v>
      </c>
      <c r="C50" s="12"/>
      <c r="D50" s="97"/>
      <c r="E50" s="23"/>
      <c r="F50" s="103"/>
    </row>
    <row r="51" spans="1:6" ht="30" hidden="1" customHeight="1" outlineLevel="3" x14ac:dyDescent="0.2">
      <c r="B51" s="13">
        <f t="shared" si="0"/>
        <v>48</v>
      </c>
      <c r="C51" s="14"/>
      <c r="D51" s="15"/>
      <c r="E51" s="14"/>
      <c r="F51" s="15"/>
    </row>
    <row r="52" spans="1:6" ht="30" hidden="1" customHeight="1" outlineLevel="3" x14ac:dyDescent="0.2">
      <c r="B52" s="13">
        <f t="shared" si="0"/>
        <v>49</v>
      </c>
      <c r="C52" s="14"/>
      <c r="D52" s="15"/>
      <c r="E52" s="14"/>
      <c r="F52" s="15"/>
    </row>
    <row r="53" spans="1:6" ht="30" hidden="1" customHeight="1" outlineLevel="1" collapsed="1" x14ac:dyDescent="0.2">
      <c r="B53" s="9">
        <f t="shared" si="0"/>
        <v>50</v>
      </c>
      <c r="C53" s="10" t="s">
        <v>103</v>
      </c>
      <c r="D53" s="67" t="s">
        <v>881</v>
      </c>
      <c r="E53" s="10" t="s">
        <v>104</v>
      </c>
      <c r="F53" s="67" t="s">
        <v>1323</v>
      </c>
    </row>
    <row r="54" spans="1:6" ht="30" hidden="1" customHeight="1" outlineLevel="2" x14ac:dyDescent="0.2">
      <c r="B54" s="11">
        <f t="shared" si="0"/>
        <v>51</v>
      </c>
      <c r="C54" s="12"/>
      <c r="D54" s="97"/>
      <c r="E54" s="23"/>
      <c r="F54" s="103"/>
    </row>
    <row r="55" spans="1:6" s="85" customFormat="1" ht="30" hidden="1" customHeight="1" outlineLevel="3" x14ac:dyDescent="0.2">
      <c r="A55" s="89" t="s">
        <v>65</v>
      </c>
      <c r="B55" s="86">
        <f t="shared" si="0"/>
        <v>52</v>
      </c>
      <c r="C55" s="87"/>
      <c r="D55" s="88"/>
      <c r="E55" s="87"/>
      <c r="F55" s="88"/>
    </row>
    <row r="56" spans="1:6" s="85" customFormat="1" ht="30" hidden="1" customHeight="1" outlineLevel="3" x14ac:dyDescent="0.2">
      <c r="A56" s="89" t="s">
        <v>65</v>
      </c>
      <c r="B56" s="86">
        <f t="shared" si="0"/>
        <v>53</v>
      </c>
      <c r="C56" s="87"/>
      <c r="D56" s="88"/>
      <c r="E56" s="87"/>
      <c r="F56" s="88"/>
    </row>
    <row r="57" spans="1:6" ht="30" hidden="1" customHeight="1" outlineLevel="3" x14ac:dyDescent="0.2">
      <c r="B57" s="13">
        <f t="shared" si="0"/>
        <v>54</v>
      </c>
      <c r="C57" s="14"/>
      <c r="D57" s="15"/>
      <c r="E57" s="14"/>
      <c r="F57" s="15"/>
    </row>
    <row r="58" spans="1:6" ht="30" hidden="1" customHeight="1" outlineLevel="3" x14ac:dyDescent="0.2">
      <c r="B58" s="13">
        <f t="shared" si="0"/>
        <v>55</v>
      </c>
      <c r="C58" s="14"/>
      <c r="D58" s="15"/>
      <c r="E58" s="14"/>
      <c r="F58" s="15"/>
    </row>
    <row r="59" spans="1:6" s="85" customFormat="1" ht="30" hidden="1" customHeight="1" outlineLevel="3" x14ac:dyDescent="0.2">
      <c r="A59" s="89" t="s">
        <v>65</v>
      </c>
      <c r="B59" s="86">
        <f t="shared" si="0"/>
        <v>56</v>
      </c>
      <c r="C59" s="87"/>
      <c r="D59" s="88"/>
      <c r="E59" s="88"/>
      <c r="F59" s="88"/>
    </row>
    <row r="60" spans="1:6" s="85" customFormat="1" ht="30" hidden="1" customHeight="1" outlineLevel="3" x14ac:dyDescent="0.2">
      <c r="A60" s="89" t="s">
        <v>65</v>
      </c>
      <c r="B60" s="86">
        <f t="shared" si="0"/>
        <v>57</v>
      </c>
      <c r="C60" s="87"/>
      <c r="D60" s="88"/>
      <c r="E60" s="88"/>
      <c r="F60" s="88"/>
    </row>
    <row r="61" spans="1:6" s="85" customFormat="1" ht="30" hidden="1" customHeight="1" outlineLevel="3" x14ac:dyDescent="0.2">
      <c r="A61" s="89" t="s">
        <v>65</v>
      </c>
      <c r="B61" s="86">
        <f t="shared" si="0"/>
        <v>58</v>
      </c>
      <c r="C61" s="87"/>
      <c r="D61" s="88"/>
      <c r="E61" s="88"/>
      <c r="F61" s="88"/>
    </row>
    <row r="62" spans="1:6" ht="30" hidden="1" customHeight="1" outlineLevel="3" x14ac:dyDescent="0.2">
      <c r="B62" s="13">
        <f t="shared" si="0"/>
        <v>59</v>
      </c>
      <c r="C62" s="14"/>
      <c r="D62" s="15"/>
      <c r="E62" s="15"/>
      <c r="F62" s="15"/>
    </row>
    <row r="63" spans="1:6" ht="30" hidden="1" customHeight="1" outlineLevel="3" x14ac:dyDescent="0.2">
      <c r="B63" s="13">
        <f t="shared" si="0"/>
        <v>60</v>
      </c>
      <c r="C63" s="14"/>
      <c r="D63" s="15"/>
      <c r="E63" s="15"/>
      <c r="F63" s="15"/>
    </row>
    <row r="64" spans="1:6" ht="30" hidden="1" customHeight="1" outlineLevel="3" x14ac:dyDescent="0.2">
      <c r="B64" s="13">
        <f t="shared" si="0"/>
        <v>61</v>
      </c>
      <c r="C64" s="14"/>
      <c r="D64" s="15"/>
      <c r="E64" s="15"/>
      <c r="F64" s="15"/>
    </row>
    <row r="65" spans="1:6" ht="30" hidden="1" customHeight="1" outlineLevel="3" x14ac:dyDescent="0.2">
      <c r="B65" s="13">
        <f t="shared" si="0"/>
        <v>62</v>
      </c>
      <c r="C65" s="14"/>
      <c r="D65" s="15"/>
      <c r="E65" s="15"/>
      <c r="F65" s="15"/>
    </row>
    <row r="66" spans="1:6" s="85" customFormat="1" ht="30" hidden="1" customHeight="1" outlineLevel="3" x14ac:dyDescent="0.2">
      <c r="A66" s="89" t="s">
        <v>65</v>
      </c>
      <c r="B66" s="86">
        <f t="shared" si="0"/>
        <v>63</v>
      </c>
      <c r="C66" s="87"/>
      <c r="D66" s="88"/>
      <c r="E66" s="88"/>
      <c r="F66" s="88"/>
    </row>
    <row r="67" spans="1:6" ht="30" hidden="1" customHeight="1" outlineLevel="2" collapsed="1" x14ac:dyDescent="0.2">
      <c r="B67" s="11">
        <f t="shared" si="0"/>
        <v>64</v>
      </c>
      <c r="C67" s="12"/>
      <c r="D67" s="97"/>
      <c r="E67" s="23"/>
      <c r="F67" s="103"/>
    </row>
    <row r="68" spans="1:6" ht="30" hidden="1" customHeight="1" outlineLevel="3" x14ac:dyDescent="0.2">
      <c r="B68" s="24">
        <f t="shared" si="0"/>
        <v>65</v>
      </c>
      <c r="C68" s="25"/>
      <c r="D68" s="44"/>
      <c r="E68" s="26"/>
      <c r="F68" s="104"/>
    </row>
    <row r="69" spans="1:6" ht="30" hidden="1" customHeight="1" outlineLevel="3" x14ac:dyDescent="0.2">
      <c r="B69" s="24">
        <f t="shared" si="0"/>
        <v>66</v>
      </c>
      <c r="C69" s="25"/>
      <c r="D69" s="44"/>
      <c r="E69" s="26"/>
      <c r="F69" s="104"/>
    </row>
    <row r="70" spans="1:6" ht="30" hidden="1" customHeight="1" outlineLevel="2" collapsed="1" x14ac:dyDescent="0.2">
      <c r="B70" s="11">
        <f t="shared" ref="B70:B133" si="1">B69+1</f>
        <v>67</v>
      </c>
      <c r="C70" s="12"/>
      <c r="D70" s="97"/>
      <c r="E70" s="23"/>
      <c r="F70" s="103"/>
    </row>
    <row r="71" spans="1:6" ht="30" hidden="1" customHeight="1" outlineLevel="3" x14ac:dyDescent="0.2">
      <c r="B71" s="13">
        <f t="shared" si="1"/>
        <v>68</v>
      </c>
      <c r="C71" s="14"/>
      <c r="D71" s="15"/>
      <c r="E71" s="14"/>
      <c r="F71" s="15"/>
    </row>
    <row r="72" spans="1:6" ht="30" hidden="1" customHeight="1" outlineLevel="3" x14ac:dyDescent="0.2">
      <c r="B72" s="13">
        <f t="shared" si="1"/>
        <v>69</v>
      </c>
      <c r="C72" s="14"/>
      <c r="D72" s="15"/>
      <c r="E72" s="14"/>
      <c r="F72" s="15"/>
    </row>
    <row r="73" spans="1:6" ht="30" hidden="1" customHeight="1" outlineLevel="3" x14ac:dyDescent="0.2">
      <c r="B73" s="13">
        <f t="shared" si="1"/>
        <v>70</v>
      </c>
      <c r="C73" s="14"/>
      <c r="D73" s="15"/>
      <c r="E73" s="14"/>
      <c r="F73" s="15"/>
    </row>
    <row r="74" spans="1:6" ht="30" hidden="1" customHeight="1" outlineLevel="1" collapsed="1" x14ac:dyDescent="0.2">
      <c r="B74" s="27">
        <f t="shared" si="1"/>
        <v>71</v>
      </c>
      <c r="C74" s="10" t="s">
        <v>144</v>
      </c>
      <c r="D74" s="67" t="s">
        <v>908</v>
      </c>
      <c r="E74" s="10" t="s">
        <v>145</v>
      </c>
      <c r="F74" s="67" t="s">
        <v>1323</v>
      </c>
    </row>
    <row r="75" spans="1:6" ht="30" hidden="1" customHeight="1" outlineLevel="2" x14ac:dyDescent="0.2">
      <c r="B75" s="11">
        <f t="shared" si="1"/>
        <v>72</v>
      </c>
      <c r="C75" s="12"/>
      <c r="D75" s="97"/>
      <c r="E75" s="28"/>
      <c r="F75" s="105"/>
    </row>
    <row r="76" spans="1:6" ht="30" hidden="1" customHeight="1" outlineLevel="2" x14ac:dyDescent="0.2">
      <c r="B76" s="11">
        <f t="shared" si="1"/>
        <v>73</v>
      </c>
      <c r="C76" s="12"/>
      <c r="D76" s="97"/>
      <c r="E76" s="28"/>
      <c r="F76" s="105"/>
    </row>
    <row r="77" spans="1:6" s="29" customFormat="1" ht="30" hidden="1" customHeight="1" outlineLevel="1" collapsed="1" x14ac:dyDescent="0.2">
      <c r="B77" s="27">
        <f t="shared" si="1"/>
        <v>74</v>
      </c>
      <c r="C77" s="30" t="s">
        <v>150</v>
      </c>
      <c r="D77" s="100" t="s">
        <v>871</v>
      </c>
      <c r="E77" s="30" t="s">
        <v>151</v>
      </c>
      <c r="F77" s="100" t="s">
        <v>870</v>
      </c>
    </row>
    <row r="78" spans="1:6" ht="30" hidden="1" customHeight="1" outlineLevel="2" x14ac:dyDescent="0.2">
      <c r="B78" s="16">
        <f t="shared" si="1"/>
        <v>75</v>
      </c>
      <c r="C78" s="17"/>
      <c r="D78" s="31"/>
      <c r="E78" s="31"/>
      <c r="F78" s="31"/>
    </row>
    <row r="79" spans="1:6" ht="30" hidden="1" customHeight="1" outlineLevel="2" x14ac:dyDescent="0.2">
      <c r="B79" s="16">
        <f t="shared" si="1"/>
        <v>76</v>
      </c>
      <c r="C79" s="17"/>
      <c r="D79" s="31"/>
      <c r="E79" s="17"/>
      <c r="F79" s="31"/>
    </row>
    <row r="80" spans="1:6" ht="30" hidden="1" customHeight="1" outlineLevel="2" x14ac:dyDescent="0.2">
      <c r="B80" s="16">
        <f t="shared" si="1"/>
        <v>77</v>
      </c>
      <c r="C80" s="17"/>
      <c r="D80" s="31"/>
      <c r="E80" s="17"/>
      <c r="F80" s="31"/>
    </row>
    <row r="81" spans="2:9" ht="30" hidden="1" customHeight="1" outlineLevel="2" x14ac:dyDescent="0.2">
      <c r="B81" s="16">
        <f t="shared" si="1"/>
        <v>78</v>
      </c>
      <c r="C81" s="17"/>
      <c r="D81" s="31"/>
      <c r="E81" s="31"/>
      <c r="F81" s="31"/>
    </row>
    <row r="82" spans="2:9" ht="30" hidden="1" customHeight="1" outlineLevel="2" x14ac:dyDescent="0.2">
      <c r="B82" s="16">
        <f t="shared" si="1"/>
        <v>79</v>
      </c>
      <c r="C82" s="17"/>
      <c r="D82" s="31"/>
      <c r="E82" s="17"/>
      <c r="F82" s="31"/>
    </row>
    <row r="83" spans="2:9" ht="30" hidden="1" customHeight="1" outlineLevel="2" x14ac:dyDescent="0.2">
      <c r="B83" s="16">
        <f t="shared" si="1"/>
        <v>80</v>
      </c>
      <c r="C83" s="17"/>
      <c r="D83" s="31"/>
      <c r="E83" s="17"/>
      <c r="F83" s="31"/>
    </row>
    <row r="84" spans="2:9" ht="30" customHeight="1" collapsed="1" x14ac:dyDescent="0.2">
      <c r="B84" s="7">
        <f t="shared" si="1"/>
        <v>81</v>
      </c>
      <c r="C84" s="8" t="s">
        <v>164</v>
      </c>
      <c r="D84" s="96" t="s">
        <v>885</v>
      </c>
      <c r="E84" s="22" t="s">
        <v>165</v>
      </c>
      <c r="F84" s="102" t="s">
        <v>885</v>
      </c>
      <c r="G84" s="4" t="s">
        <v>912</v>
      </c>
      <c r="H84" s="4" t="s">
        <v>886</v>
      </c>
      <c r="I84" s="4" t="s">
        <v>923</v>
      </c>
    </row>
    <row r="85" spans="2:9" ht="30" hidden="1" customHeight="1" outlineLevel="1" x14ac:dyDescent="0.2">
      <c r="B85" s="9">
        <f t="shared" si="1"/>
        <v>82</v>
      </c>
      <c r="C85" s="10" t="s">
        <v>166</v>
      </c>
      <c r="D85" s="67" t="s">
        <v>912</v>
      </c>
      <c r="E85" s="10" t="s">
        <v>167</v>
      </c>
      <c r="F85" s="67" t="s">
        <v>885</v>
      </c>
    </row>
    <row r="86" spans="2:9" ht="30" hidden="1" customHeight="1" outlineLevel="2" x14ac:dyDescent="0.2">
      <c r="B86" s="11">
        <f t="shared" si="1"/>
        <v>83</v>
      </c>
      <c r="C86" s="12"/>
      <c r="D86" s="97"/>
      <c r="E86" s="12"/>
      <c r="F86" s="97"/>
    </row>
    <row r="87" spans="2:9" ht="30" hidden="1" customHeight="1" outlineLevel="3" x14ac:dyDescent="0.2">
      <c r="B87" s="13">
        <f t="shared" si="1"/>
        <v>84</v>
      </c>
      <c r="C87" s="14"/>
      <c r="D87" s="15"/>
      <c r="E87" s="14"/>
      <c r="F87" s="15"/>
    </row>
    <row r="88" spans="2:9" ht="30" hidden="1" customHeight="1" outlineLevel="3" x14ac:dyDescent="0.2">
      <c r="B88" s="24">
        <f t="shared" si="1"/>
        <v>85</v>
      </c>
      <c r="C88" s="25"/>
      <c r="D88" s="44"/>
      <c r="E88" s="25"/>
      <c r="F88" s="44"/>
    </row>
    <row r="89" spans="2:9" ht="30" hidden="1" customHeight="1" outlineLevel="3" x14ac:dyDescent="0.2">
      <c r="B89" s="13">
        <f t="shared" si="1"/>
        <v>86</v>
      </c>
      <c r="C89" s="14"/>
      <c r="D89" s="15"/>
      <c r="E89" s="14"/>
      <c r="F89" s="15"/>
    </row>
    <row r="90" spans="2:9" ht="30" hidden="1" customHeight="1" outlineLevel="3" x14ac:dyDescent="0.2">
      <c r="B90" s="13">
        <f t="shared" si="1"/>
        <v>87</v>
      </c>
      <c r="C90" s="14"/>
      <c r="D90" s="15"/>
      <c r="E90" s="14"/>
      <c r="F90" s="15"/>
    </row>
    <row r="91" spans="2:9" ht="30" hidden="1" customHeight="1" outlineLevel="3" x14ac:dyDescent="0.2">
      <c r="B91" s="13">
        <f t="shared" si="1"/>
        <v>88</v>
      </c>
      <c r="C91" s="14"/>
      <c r="D91" s="15"/>
      <c r="E91" s="14"/>
      <c r="F91" s="15"/>
    </row>
    <row r="92" spans="2:9" ht="30" hidden="1" customHeight="1" outlineLevel="3" x14ac:dyDescent="0.2">
      <c r="B92" s="13">
        <f t="shared" si="1"/>
        <v>89</v>
      </c>
      <c r="C92" s="14"/>
      <c r="D92" s="15"/>
      <c r="E92" s="14"/>
      <c r="F92" s="15"/>
    </row>
    <row r="93" spans="2:9" ht="30" hidden="1" customHeight="1" outlineLevel="3" x14ac:dyDescent="0.2">
      <c r="B93" s="13">
        <f t="shared" si="1"/>
        <v>90</v>
      </c>
      <c r="C93" s="14"/>
      <c r="D93" s="15"/>
      <c r="E93" s="14"/>
      <c r="F93" s="15"/>
    </row>
    <row r="94" spans="2:9" ht="30" hidden="1" customHeight="1" outlineLevel="2" collapsed="1" x14ac:dyDescent="0.2">
      <c r="B94" s="11">
        <f t="shared" si="1"/>
        <v>91</v>
      </c>
      <c r="C94" s="12"/>
      <c r="D94" s="97"/>
      <c r="E94" s="12"/>
      <c r="F94" s="97"/>
    </row>
    <row r="95" spans="2:9" ht="30" hidden="1" customHeight="1" outlineLevel="3" x14ac:dyDescent="0.2">
      <c r="B95" s="13">
        <f t="shared" si="1"/>
        <v>92</v>
      </c>
      <c r="C95" s="14"/>
      <c r="D95" s="15"/>
      <c r="E95" s="14"/>
      <c r="F95" s="15"/>
    </row>
    <row r="96" spans="2:9" ht="30" hidden="1" customHeight="1" outlineLevel="3" x14ac:dyDescent="0.2">
      <c r="B96" s="24">
        <f t="shared" si="1"/>
        <v>93</v>
      </c>
      <c r="C96" s="25"/>
      <c r="D96" s="44"/>
      <c r="E96" s="25"/>
      <c r="F96" s="44"/>
    </row>
    <row r="97" spans="2:6" ht="30" hidden="1" customHeight="1" outlineLevel="3" x14ac:dyDescent="0.2">
      <c r="B97" s="13">
        <f t="shared" si="1"/>
        <v>94</v>
      </c>
      <c r="C97" s="14"/>
      <c r="D97" s="15"/>
      <c r="E97" s="14"/>
      <c r="F97" s="15"/>
    </row>
    <row r="98" spans="2:6" ht="30" hidden="1" customHeight="1" outlineLevel="3" x14ac:dyDescent="0.2">
      <c r="B98" s="13">
        <f t="shared" si="1"/>
        <v>95</v>
      </c>
      <c r="C98" s="14"/>
      <c r="D98" s="15"/>
      <c r="E98" s="14"/>
      <c r="F98" s="15"/>
    </row>
    <row r="99" spans="2:6" ht="30" hidden="1" customHeight="1" outlineLevel="3" x14ac:dyDescent="0.2">
      <c r="B99" s="13">
        <f t="shared" si="1"/>
        <v>96</v>
      </c>
      <c r="C99" s="14"/>
      <c r="D99" s="15"/>
      <c r="E99" s="14"/>
      <c r="F99" s="15"/>
    </row>
    <row r="100" spans="2:6" ht="30" hidden="1" customHeight="1" outlineLevel="2" collapsed="1" x14ac:dyDescent="0.2">
      <c r="B100" s="11">
        <f t="shared" si="1"/>
        <v>97</v>
      </c>
      <c r="C100" s="12"/>
      <c r="D100" s="97"/>
      <c r="E100" s="12"/>
      <c r="F100" s="97"/>
    </row>
    <row r="101" spans="2:6" ht="30" hidden="1" customHeight="1" outlineLevel="3" x14ac:dyDescent="0.2">
      <c r="B101" s="13">
        <f t="shared" si="1"/>
        <v>98</v>
      </c>
      <c r="C101" s="14"/>
      <c r="D101" s="15"/>
      <c r="E101" s="14"/>
      <c r="F101" s="15"/>
    </row>
    <row r="102" spans="2:6" ht="30" hidden="1" customHeight="1" outlineLevel="3" x14ac:dyDescent="0.2">
      <c r="B102" s="13">
        <f t="shared" si="1"/>
        <v>99</v>
      </c>
      <c r="C102" s="14"/>
      <c r="D102" s="15"/>
      <c r="E102" s="14"/>
      <c r="F102" s="15"/>
    </row>
    <row r="103" spans="2:6" ht="30" hidden="1" customHeight="1" outlineLevel="3" x14ac:dyDescent="0.2">
      <c r="B103" s="13">
        <f t="shared" si="1"/>
        <v>100</v>
      </c>
      <c r="C103" s="14"/>
      <c r="D103" s="15"/>
      <c r="E103" s="14"/>
      <c r="F103" s="15"/>
    </row>
    <row r="104" spans="2:6" ht="30" hidden="1" customHeight="1" outlineLevel="3" x14ac:dyDescent="0.2">
      <c r="B104" s="13">
        <f t="shared" si="1"/>
        <v>101</v>
      </c>
      <c r="C104" s="14"/>
      <c r="D104" s="15"/>
      <c r="E104" s="14"/>
      <c r="F104" s="15"/>
    </row>
    <row r="105" spans="2:6" ht="30" hidden="1" customHeight="1" outlineLevel="1" collapsed="1" x14ac:dyDescent="0.2">
      <c r="B105" s="9">
        <f t="shared" si="1"/>
        <v>102</v>
      </c>
      <c r="C105" s="10" t="s">
        <v>205</v>
      </c>
      <c r="D105" s="67" t="s">
        <v>886</v>
      </c>
      <c r="E105" s="10" t="s">
        <v>206</v>
      </c>
      <c r="F105" s="67" t="s">
        <v>870</v>
      </c>
    </row>
    <row r="106" spans="2:6" ht="30" hidden="1" customHeight="1" outlineLevel="2" x14ac:dyDescent="0.2">
      <c r="B106" s="11">
        <f t="shared" si="1"/>
        <v>103</v>
      </c>
      <c r="C106" s="12"/>
      <c r="D106" s="97"/>
      <c r="E106" s="12"/>
      <c r="F106" s="97"/>
    </row>
    <row r="107" spans="2:6" ht="30" hidden="1" customHeight="1" outlineLevel="3" x14ac:dyDescent="0.2">
      <c r="B107" s="13">
        <f t="shared" si="1"/>
        <v>104</v>
      </c>
      <c r="C107" s="14"/>
      <c r="D107" s="15"/>
      <c r="E107" s="14"/>
      <c r="F107" s="15"/>
    </row>
    <row r="108" spans="2:6" ht="30" hidden="1" customHeight="1" outlineLevel="3" x14ac:dyDescent="0.2">
      <c r="B108" s="13">
        <f t="shared" si="1"/>
        <v>105</v>
      </c>
      <c r="C108" s="14"/>
      <c r="D108" s="15"/>
      <c r="E108" s="14"/>
      <c r="F108" s="15"/>
    </row>
    <row r="109" spans="2:6" ht="30" hidden="1" customHeight="1" outlineLevel="3" x14ac:dyDescent="0.2">
      <c r="B109" s="13">
        <f t="shared" si="1"/>
        <v>106</v>
      </c>
      <c r="C109" s="14"/>
      <c r="D109" s="15"/>
      <c r="E109" s="14"/>
      <c r="F109" s="15"/>
    </row>
    <row r="110" spans="2:6" ht="30" hidden="1" customHeight="1" outlineLevel="3" x14ac:dyDescent="0.2">
      <c r="B110" s="13">
        <f t="shared" si="1"/>
        <v>107</v>
      </c>
      <c r="C110" s="14"/>
      <c r="D110" s="15"/>
      <c r="E110" s="14"/>
      <c r="F110" s="15"/>
    </row>
    <row r="111" spans="2:6" ht="30" hidden="1" customHeight="1" outlineLevel="3" x14ac:dyDescent="0.2">
      <c r="B111" s="13">
        <f t="shared" si="1"/>
        <v>108</v>
      </c>
      <c r="C111" s="14"/>
      <c r="D111" s="15"/>
      <c r="E111" s="14"/>
      <c r="F111" s="15"/>
    </row>
    <row r="112" spans="2:6" ht="30" hidden="1" customHeight="1" outlineLevel="3" x14ac:dyDescent="0.2">
      <c r="B112" s="13">
        <f>B111+1</f>
        <v>109</v>
      </c>
      <c r="C112" s="14"/>
      <c r="D112" s="15"/>
      <c r="E112" s="15"/>
      <c r="F112" s="15"/>
    </row>
    <row r="113" spans="2:6" ht="30" hidden="1" customHeight="1" outlineLevel="3" x14ac:dyDescent="0.2">
      <c r="B113" s="13">
        <f>B112+1</f>
        <v>110</v>
      </c>
      <c r="C113" s="14"/>
      <c r="D113" s="15"/>
      <c r="E113" s="15"/>
      <c r="F113" s="15"/>
    </row>
    <row r="114" spans="2:6" ht="30" hidden="1" customHeight="1" outlineLevel="2" collapsed="1" x14ac:dyDescent="0.2">
      <c r="B114" s="11">
        <f>B113+1</f>
        <v>111</v>
      </c>
      <c r="C114" s="12"/>
      <c r="D114" s="97"/>
      <c r="E114" s="12"/>
      <c r="F114" s="97"/>
    </row>
    <row r="115" spans="2:6" ht="30" hidden="1" customHeight="1" outlineLevel="1" collapsed="1" x14ac:dyDescent="0.2">
      <c r="B115" s="9">
        <f t="shared" si="1"/>
        <v>112</v>
      </c>
      <c r="C115" s="10" t="s">
        <v>225</v>
      </c>
      <c r="D115" s="67" t="s">
        <v>923</v>
      </c>
      <c r="E115" s="10" t="s">
        <v>226</v>
      </c>
      <c r="F115" s="67" t="s">
        <v>885</v>
      </c>
    </row>
    <row r="116" spans="2:6" ht="30" hidden="1" customHeight="1" outlineLevel="2" x14ac:dyDescent="0.2">
      <c r="B116" s="11">
        <f t="shared" si="1"/>
        <v>113</v>
      </c>
      <c r="C116" s="12"/>
      <c r="D116" s="97"/>
      <c r="E116" s="12"/>
      <c r="F116" s="97"/>
    </row>
    <row r="117" spans="2:6" ht="30" hidden="1" customHeight="1" outlineLevel="3" x14ac:dyDescent="0.2">
      <c r="B117" s="13">
        <f t="shared" si="1"/>
        <v>114</v>
      </c>
      <c r="C117" s="14"/>
      <c r="D117" s="15"/>
      <c r="E117" s="14"/>
      <c r="F117" s="15"/>
    </row>
    <row r="118" spans="2:6" ht="30" hidden="1" customHeight="1" outlineLevel="3" x14ac:dyDescent="0.2">
      <c r="B118" s="13">
        <f t="shared" si="1"/>
        <v>115</v>
      </c>
      <c r="C118" s="14"/>
      <c r="D118" s="15"/>
      <c r="E118" s="14"/>
      <c r="F118" s="15"/>
    </row>
    <row r="119" spans="2:6" ht="30" hidden="1" customHeight="1" outlineLevel="3" x14ac:dyDescent="0.2">
      <c r="B119" s="13">
        <f t="shared" si="1"/>
        <v>116</v>
      </c>
      <c r="C119" s="14"/>
      <c r="D119" s="15"/>
      <c r="E119" s="14"/>
      <c r="F119" s="15"/>
    </row>
    <row r="120" spans="2:6" ht="30" hidden="1" customHeight="1" outlineLevel="3" x14ac:dyDescent="0.2">
      <c r="B120" s="13">
        <f t="shared" si="1"/>
        <v>117</v>
      </c>
      <c r="C120" s="14"/>
      <c r="D120" s="15"/>
      <c r="E120" s="14"/>
      <c r="F120" s="15"/>
    </row>
    <row r="121" spans="2:6" s="32" customFormat="1" ht="30" hidden="1" customHeight="1" outlineLevel="3" x14ac:dyDescent="0.2">
      <c r="B121" s="13">
        <f t="shared" si="1"/>
        <v>118</v>
      </c>
      <c r="C121" s="14"/>
      <c r="D121" s="15"/>
      <c r="E121" s="14"/>
      <c r="F121" s="15"/>
    </row>
    <row r="122" spans="2:6" s="32" customFormat="1" ht="30" hidden="1" customHeight="1" outlineLevel="3" x14ac:dyDescent="0.2">
      <c r="B122" s="13">
        <f t="shared" si="1"/>
        <v>119</v>
      </c>
      <c r="C122" s="14"/>
      <c r="D122" s="15"/>
      <c r="E122" s="14"/>
      <c r="F122" s="15"/>
    </row>
    <row r="123" spans="2:6" ht="30" hidden="1" customHeight="1" outlineLevel="3" x14ac:dyDescent="0.2">
      <c r="B123" s="13">
        <f t="shared" si="1"/>
        <v>120</v>
      </c>
      <c r="C123" s="14"/>
      <c r="D123" s="15"/>
      <c r="E123" s="14"/>
      <c r="F123" s="15"/>
    </row>
    <row r="124" spans="2:6" ht="30" hidden="1" customHeight="1" outlineLevel="3" x14ac:dyDescent="0.2">
      <c r="B124" s="13">
        <f t="shared" si="1"/>
        <v>121</v>
      </c>
      <c r="C124" s="14"/>
      <c r="D124" s="15"/>
      <c r="E124" s="14"/>
      <c r="F124" s="15"/>
    </row>
    <row r="125" spans="2:6" ht="30" hidden="1" customHeight="1" outlineLevel="2" collapsed="1" x14ac:dyDescent="0.2">
      <c r="B125" s="11">
        <f t="shared" si="1"/>
        <v>122</v>
      </c>
      <c r="C125" s="12"/>
      <c r="D125" s="97"/>
      <c r="E125" s="12"/>
      <c r="F125" s="97"/>
    </row>
    <row r="126" spans="2:6" ht="30" hidden="1" customHeight="1" outlineLevel="3" x14ac:dyDescent="0.2">
      <c r="B126" s="13">
        <f t="shared" si="1"/>
        <v>123</v>
      </c>
      <c r="C126" s="14"/>
      <c r="D126" s="15"/>
      <c r="E126" s="14"/>
      <c r="F126" s="15"/>
    </row>
    <row r="127" spans="2:6" ht="30" hidden="1" customHeight="1" outlineLevel="3" x14ac:dyDescent="0.2">
      <c r="B127" s="13">
        <f t="shared" si="1"/>
        <v>124</v>
      </c>
      <c r="C127" s="14"/>
      <c r="D127" s="15"/>
      <c r="E127" s="14"/>
      <c r="F127" s="15"/>
    </row>
    <row r="128" spans="2:6" ht="30" hidden="1" customHeight="1" outlineLevel="3" x14ac:dyDescent="0.2">
      <c r="B128" s="13">
        <f t="shared" si="1"/>
        <v>125</v>
      </c>
      <c r="C128" s="14"/>
      <c r="D128" s="15"/>
      <c r="E128" s="14"/>
      <c r="F128" s="15"/>
    </row>
    <row r="129" spans="2:11" ht="30" hidden="1" customHeight="1" outlineLevel="3" x14ac:dyDescent="0.2">
      <c r="B129" s="13">
        <f t="shared" si="1"/>
        <v>126</v>
      </c>
      <c r="C129" s="14"/>
      <c r="D129" s="15"/>
      <c r="E129" s="14"/>
      <c r="F129" s="15"/>
    </row>
    <row r="130" spans="2:11" ht="30" hidden="1" customHeight="1" outlineLevel="3" x14ac:dyDescent="0.2">
      <c r="B130" s="13">
        <f t="shared" si="1"/>
        <v>127</v>
      </c>
      <c r="C130" s="14"/>
      <c r="D130" s="15"/>
      <c r="E130" s="14"/>
      <c r="F130" s="15"/>
    </row>
    <row r="131" spans="2:11" ht="30" hidden="1" customHeight="1" outlineLevel="2" collapsed="1" x14ac:dyDescent="0.2">
      <c r="B131" s="11">
        <f t="shared" si="1"/>
        <v>128</v>
      </c>
      <c r="C131" s="12"/>
      <c r="D131" s="97"/>
      <c r="E131" s="12"/>
      <c r="F131" s="97"/>
    </row>
    <row r="132" spans="2:11" ht="30" hidden="1" customHeight="1" outlineLevel="3" x14ac:dyDescent="0.2">
      <c r="B132" s="13">
        <f t="shared" si="1"/>
        <v>129</v>
      </c>
      <c r="C132" s="14"/>
      <c r="D132" s="15"/>
      <c r="E132" s="14"/>
      <c r="F132" s="15"/>
    </row>
    <row r="133" spans="2:11" s="32" customFormat="1" ht="30" hidden="1" customHeight="1" outlineLevel="3" x14ac:dyDescent="0.2">
      <c r="B133" s="13">
        <f t="shared" si="1"/>
        <v>130</v>
      </c>
      <c r="C133" s="14"/>
      <c r="D133" s="15"/>
      <c r="E133" s="14"/>
      <c r="F133" s="15"/>
    </row>
    <row r="134" spans="2:11" ht="30" hidden="1" customHeight="1" outlineLevel="3" x14ac:dyDescent="0.2">
      <c r="B134" s="13">
        <f t="shared" ref="B134:B197" si="2">B133+1</f>
        <v>131</v>
      </c>
      <c r="C134" s="14"/>
      <c r="D134" s="15"/>
      <c r="E134" s="14"/>
      <c r="F134" s="15"/>
    </row>
    <row r="135" spans="2:11" ht="30" customHeight="1" collapsed="1" x14ac:dyDescent="0.2">
      <c r="B135" s="7">
        <f t="shared" si="2"/>
        <v>132</v>
      </c>
      <c r="C135" s="8" t="s">
        <v>265</v>
      </c>
      <c r="D135" s="96" t="s">
        <v>948</v>
      </c>
      <c r="E135" s="22" t="s">
        <v>266</v>
      </c>
      <c r="F135" s="102" t="s">
        <v>948</v>
      </c>
      <c r="G135" s="4" t="s">
        <v>977</v>
      </c>
      <c r="H135" s="4" t="s">
        <v>997</v>
      </c>
      <c r="I135" s="4" t="s">
        <v>983</v>
      </c>
      <c r="J135" s="4" t="s">
        <v>1023</v>
      </c>
      <c r="K135" s="4" t="s">
        <v>949</v>
      </c>
    </row>
    <row r="136" spans="2:11" ht="30" hidden="1" customHeight="1" outlineLevel="1" x14ac:dyDescent="0.2">
      <c r="B136" s="9">
        <f t="shared" si="2"/>
        <v>133</v>
      </c>
      <c r="C136" s="10" t="s">
        <v>267</v>
      </c>
      <c r="D136" s="67" t="s">
        <v>977</v>
      </c>
      <c r="E136" s="10" t="s">
        <v>268</v>
      </c>
      <c r="F136" s="67" t="s">
        <v>1324</v>
      </c>
    </row>
    <row r="137" spans="2:11" ht="30" hidden="1" customHeight="1" outlineLevel="2" x14ac:dyDescent="0.2">
      <c r="B137" s="11">
        <f t="shared" si="2"/>
        <v>134</v>
      </c>
      <c r="C137" s="12"/>
      <c r="D137" s="97"/>
      <c r="E137" s="23"/>
      <c r="F137" s="103"/>
    </row>
    <row r="138" spans="2:11" ht="30" hidden="1" customHeight="1" outlineLevel="3" x14ac:dyDescent="0.2">
      <c r="B138" s="13">
        <f t="shared" si="2"/>
        <v>135</v>
      </c>
      <c r="C138" s="14"/>
      <c r="D138" s="15"/>
      <c r="E138" s="14"/>
      <c r="F138" s="15"/>
    </row>
    <row r="139" spans="2:11" ht="30" hidden="1" customHeight="1" outlineLevel="3" x14ac:dyDescent="0.2">
      <c r="B139" s="13">
        <f t="shared" si="2"/>
        <v>136</v>
      </c>
      <c r="C139" s="14"/>
      <c r="D139" s="15"/>
      <c r="E139" s="14"/>
      <c r="F139" s="15"/>
    </row>
    <row r="140" spans="2:11" ht="30" hidden="1" customHeight="1" outlineLevel="2" collapsed="1" x14ac:dyDescent="0.2">
      <c r="B140" s="11">
        <f t="shared" si="2"/>
        <v>137</v>
      </c>
      <c r="C140" s="12"/>
      <c r="D140" s="97"/>
      <c r="E140" s="12"/>
      <c r="F140" s="97"/>
    </row>
    <row r="141" spans="2:11" ht="30" hidden="1" customHeight="1" outlineLevel="2" x14ac:dyDescent="0.2">
      <c r="B141" s="11">
        <f t="shared" si="2"/>
        <v>138</v>
      </c>
      <c r="C141" s="12"/>
      <c r="D141" s="97"/>
      <c r="E141" s="31"/>
      <c r="F141" s="31"/>
    </row>
    <row r="142" spans="2:11" ht="30" hidden="1" customHeight="1" outlineLevel="3" x14ac:dyDescent="0.2">
      <c r="B142" s="13">
        <f t="shared" si="2"/>
        <v>139</v>
      </c>
      <c r="C142" s="14"/>
      <c r="D142" s="15"/>
      <c r="E142" s="14"/>
      <c r="F142" s="15"/>
    </row>
    <row r="143" spans="2:11" ht="30" hidden="1" customHeight="1" outlineLevel="3" x14ac:dyDescent="0.2">
      <c r="B143" s="13">
        <f t="shared" si="2"/>
        <v>140</v>
      </c>
      <c r="C143" s="14"/>
      <c r="D143" s="15"/>
      <c r="E143" s="14"/>
      <c r="F143" s="15"/>
    </row>
    <row r="144" spans="2:11" ht="30" hidden="1" customHeight="1" outlineLevel="1" collapsed="1" x14ac:dyDescent="0.2">
      <c r="B144" s="9">
        <f>B143+1</f>
        <v>141</v>
      </c>
      <c r="C144" s="10" t="s">
        <v>283</v>
      </c>
      <c r="D144" s="67" t="s">
        <v>997</v>
      </c>
      <c r="E144" s="10" t="s">
        <v>284</v>
      </c>
      <c r="F144" s="67" t="s">
        <v>1325</v>
      </c>
    </row>
    <row r="145" spans="2:6" ht="30" hidden="1" customHeight="1" outlineLevel="2" x14ac:dyDescent="0.2">
      <c r="B145" s="11">
        <f t="shared" si="2"/>
        <v>142</v>
      </c>
      <c r="C145" s="12"/>
      <c r="D145" s="97"/>
      <c r="E145" s="23"/>
      <c r="F145" s="103"/>
    </row>
    <row r="146" spans="2:6" ht="30" hidden="1" customHeight="1" outlineLevel="2" x14ac:dyDescent="0.2">
      <c r="B146" s="11">
        <f t="shared" si="2"/>
        <v>143</v>
      </c>
      <c r="C146" s="12"/>
      <c r="D146" s="97"/>
      <c r="E146" s="12"/>
      <c r="F146" s="97"/>
    </row>
    <row r="147" spans="2:6" ht="30" hidden="1" customHeight="1" outlineLevel="3" x14ac:dyDescent="0.2">
      <c r="B147" s="13">
        <f t="shared" si="2"/>
        <v>144</v>
      </c>
      <c r="C147" s="14"/>
      <c r="D147" s="15"/>
      <c r="E147" s="14"/>
      <c r="F147" s="15"/>
    </row>
    <row r="148" spans="2:6" ht="30" hidden="1" customHeight="1" outlineLevel="3" x14ac:dyDescent="0.2">
      <c r="B148" s="13">
        <f t="shared" si="2"/>
        <v>145</v>
      </c>
      <c r="C148" s="14"/>
      <c r="D148" s="15"/>
      <c r="E148" s="14"/>
      <c r="F148" s="15"/>
    </row>
    <row r="149" spans="2:6" ht="30" hidden="1" customHeight="1" outlineLevel="3" x14ac:dyDescent="0.2">
      <c r="B149" s="13">
        <f t="shared" si="2"/>
        <v>146</v>
      </c>
      <c r="C149" s="14"/>
      <c r="D149" s="15"/>
      <c r="E149" s="14"/>
      <c r="F149" s="15"/>
    </row>
    <row r="150" spans="2:6" ht="30" hidden="1" customHeight="1" outlineLevel="3" x14ac:dyDescent="0.2">
      <c r="B150" s="13">
        <f t="shared" si="2"/>
        <v>147</v>
      </c>
      <c r="C150" s="14"/>
      <c r="D150" s="15"/>
      <c r="E150" s="14"/>
      <c r="F150" s="15"/>
    </row>
    <row r="151" spans="2:6" ht="30" hidden="1" customHeight="1" outlineLevel="3" x14ac:dyDescent="0.2">
      <c r="B151" s="13">
        <f t="shared" si="2"/>
        <v>148</v>
      </c>
      <c r="C151" s="14"/>
      <c r="D151" s="15"/>
      <c r="E151" s="14"/>
      <c r="F151" s="15"/>
    </row>
    <row r="152" spans="2:6" ht="30" hidden="1" customHeight="1" outlineLevel="3" x14ac:dyDescent="0.2">
      <c r="B152" s="13">
        <f t="shared" si="2"/>
        <v>149</v>
      </c>
      <c r="C152" s="14"/>
      <c r="D152" s="15"/>
      <c r="E152" s="14"/>
      <c r="F152" s="15"/>
    </row>
    <row r="153" spans="2:6" ht="30" hidden="1" customHeight="1" outlineLevel="2" collapsed="1" x14ac:dyDescent="0.2">
      <c r="B153" s="11">
        <f t="shared" si="2"/>
        <v>150</v>
      </c>
      <c r="C153" s="12"/>
      <c r="D153" s="97"/>
      <c r="E153" s="17"/>
      <c r="F153" s="31"/>
    </row>
    <row r="154" spans="2:6" ht="30" hidden="1" customHeight="1" outlineLevel="3" x14ac:dyDescent="0.2">
      <c r="B154" s="13">
        <f t="shared" si="2"/>
        <v>151</v>
      </c>
      <c r="C154" s="14"/>
      <c r="D154" s="15"/>
      <c r="E154" s="14"/>
      <c r="F154" s="15"/>
    </row>
    <row r="155" spans="2:6" ht="30" hidden="1" customHeight="1" outlineLevel="3" x14ac:dyDescent="0.2">
      <c r="B155" s="13">
        <f t="shared" si="2"/>
        <v>152</v>
      </c>
      <c r="C155" s="14"/>
      <c r="D155" s="15"/>
      <c r="E155" s="14"/>
      <c r="F155" s="15"/>
    </row>
    <row r="156" spans="2:6" ht="30" hidden="1" customHeight="1" outlineLevel="3" x14ac:dyDescent="0.2">
      <c r="B156" s="13">
        <f t="shared" si="2"/>
        <v>153</v>
      </c>
      <c r="C156" s="14"/>
      <c r="D156" s="15"/>
      <c r="E156" s="14"/>
      <c r="F156" s="15"/>
    </row>
    <row r="157" spans="2:6" ht="30" hidden="1" customHeight="1" outlineLevel="3" x14ac:dyDescent="0.2">
      <c r="B157" s="13">
        <f t="shared" si="2"/>
        <v>154</v>
      </c>
      <c r="C157" s="14"/>
      <c r="D157" s="15"/>
      <c r="E157" s="14"/>
      <c r="F157" s="15"/>
    </row>
    <row r="158" spans="2:6" ht="30" hidden="1" customHeight="1" outlineLevel="2" collapsed="1" x14ac:dyDescent="0.2">
      <c r="B158" s="11">
        <f t="shared" si="2"/>
        <v>155</v>
      </c>
      <c r="C158" s="12"/>
      <c r="D158" s="97"/>
      <c r="E158" s="17"/>
      <c r="F158" s="31"/>
    </row>
    <row r="159" spans="2:6" ht="30" hidden="1" customHeight="1" outlineLevel="3" x14ac:dyDescent="0.2">
      <c r="B159" s="13">
        <f t="shared" si="2"/>
        <v>156</v>
      </c>
      <c r="C159" s="14"/>
      <c r="D159" s="15"/>
      <c r="E159" s="14"/>
      <c r="F159" s="15"/>
    </row>
    <row r="160" spans="2:6" ht="30" hidden="1" customHeight="1" outlineLevel="2" collapsed="1" x14ac:dyDescent="0.2">
      <c r="B160" s="11">
        <f t="shared" si="2"/>
        <v>157</v>
      </c>
      <c r="C160" s="12"/>
      <c r="D160" s="97"/>
      <c r="E160" s="12"/>
      <c r="F160" s="97"/>
    </row>
    <row r="161" spans="2:6" ht="30" hidden="1" customHeight="1" outlineLevel="1" collapsed="1" x14ac:dyDescent="0.2">
      <c r="B161" s="9">
        <f t="shared" si="2"/>
        <v>158</v>
      </c>
      <c r="C161" s="10" t="s">
        <v>317</v>
      </c>
      <c r="D161" s="67" t="s">
        <v>983</v>
      </c>
      <c r="E161" s="10" t="s">
        <v>318</v>
      </c>
      <c r="F161" s="67" t="s">
        <v>1325</v>
      </c>
    </row>
    <row r="162" spans="2:6" ht="30" hidden="1" customHeight="1" outlineLevel="2" x14ac:dyDescent="0.2">
      <c r="B162" s="11">
        <f t="shared" si="2"/>
        <v>159</v>
      </c>
      <c r="C162" s="12"/>
      <c r="D162" s="97"/>
      <c r="E162" s="23"/>
      <c r="F162" s="103"/>
    </row>
    <row r="163" spans="2:6" ht="30" hidden="1" customHeight="1" outlineLevel="2" x14ac:dyDescent="0.2">
      <c r="B163" s="11">
        <f t="shared" si="2"/>
        <v>160</v>
      </c>
      <c r="C163" s="12"/>
      <c r="D163" s="97"/>
      <c r="E163" s="12"/>
      <c r="F163" s="97"/>
    </row>
    <row r="164" spans="2:6" ht="30" hidden="1" customHeight="1" outlineLevel="3" x14ac:dyDescent="0.2">
      <c r="B164" s="13">
        <f t="shared" si="2"/>
        <v>161</v>
      </c>
      <c r="C164" s="14"/>
      <c r="D164" s="15"/>
      <c r="E164" s="14"/>
      <c r="F164" s="15"/>
    </row>
    <row r="165" spans="2:6" ht="30" hidden="1" customHeight="1" outlineLevel="3" x14ac:dyDescent="0.2">
      <c r="B165" s="13">
        <f t="shared" si="2"/>
        <v>162</v>
      </c>
      <c r="C165" s="14"/>
      <c r="D165" s="15"/>
      <c r="E165" s="14"/>
      <c r="F165" s="15"/>
    </row>
    <row r="166" spans="2:6" ht="30" hidden="1" customHeight="1" outlineLevel="4" x14ac:dyDescent="0.2">
      <c r="B166" s="33">
        <f t="shared" si="2"/>
        <v>163</v>
      </c>
      <c r="C166" s="34"/>
      <c r="D166" s="41"/>
      <c r="E166" s="35"/>
      <c r="F166" s="53"/>
    </row>
    <row r="167" spans="2:6" ht="30" hidden="1" customHeight="1" outlineLevel="4" x14ac:dyDescent="0.2">
      <c r="B167" s="36">
        <f t="shared" si="2"/>
        <v>164</v>
      </c>
      <c r="C167" s="37"/>
      <c r="D167" s="101"/>
      <c r="E167" s="37"/>
      <c r="F167" s="101"/>
    </row>
    <row r="168" spans="2:6" ht="30" hidden="1" customHeight="1" outlineLevel="4" x14ac:dyDescent="0.2">
      <c r="B168" s="33">
        <f t="shared" si="2"/>
        <v>165</v>
      </c>
      <c r="C168" s="34"/>
      <c r="D168" s="41"/>
      <c r="E168" s="34"/>
      <c r="F168" s="41"/>
    </row>
    <row r="169" spans="2:6" ht="30" hidden="1" customHeight="1" outlineLevel="3" collapsed="1" x14ac:dyDescent="0.2">
      <c r="B169" s="13">
        <f t="shared" si="2"/>
        <v>166</v>
      </c>
      <c r="C169" s="14"/>
      <c r="D169" s="15"/>
      <c r="E169" s="14"/>
      <c r="F169" s="15"/>
    </row>
    <row r="170" spans="2:6" ht="30" hidden="1" customHeight="1" outlineLevel="4" x14ac:dyDescent="0.2">
      <c r="B170" s="33">
        <f t="shared" si="2"/>
        <v>167</v>
      </c>
      <c r="C170" s="34"/>
      <c r="D170" s="41"/>
      <c r="E170" s="34"/>
      <c r="F170" s="41"/>
    </row>
    <row r="171" spans="2:6" ht="30" hidden="1" customHeight="1" outlineLevel="4" x14ac:dyDescent="0.2">
      <c r="B171" s="33">
        <f t="shared" si="2"/>
        <v>168</v>
      </c>
      <c r="C171" s="34"/>
      <c r="D171" s="41"/>
      <c r="E171" s="34"/>
      <c r="F171" s="41"/>
    </row>
    <row r="172" spans="2:6" ht="30" hidden="1" customHeight="1" outlineLevel="4" x14ac:dyDescent="0.2">
      <c r="B172" s="33">
        <f t="shared" si="2"/>
        <v>169</v>
      </c>
      <c r="C172" s="34"/>
      <c r="D172" s="41"/>
      <c r="E172" s="34"/>
      <c r="F172" s="41"/>
    </row>
    <row r="173" spans="2:6" ht="30" hidden="1" customHeight="1" outlineLevel="2" collapsed="1" x14ac:dyDescent="0.2">
      <c r="B173" s="11">
        <f t="shared" si="2"/>
        <v>170</v>
      </c>
      <c r="C173" s="12"/>
      <c r="D173" s="97"/>
      <c r="E173" s="17"/>
      <c r="F173" s="31"/>
    </row>
    <row r="174" spans="2:6" ht="30" hidden="1" customHeight="1" outlineLevel="3" x14ac:dyDescent="0.2">
      <c r="B174" s="13">
        <f t="shared" si="2"/>
        <v>171</v>
      </c>
      <c r="C174" s="14"/>
      <c r="D174" s="15"/>
      <c r="E174" s="14"/>
      <c r="F174" s="15"/>
    </row>
    <row r="175" spans="2:6" ht="30" hidden="1" customHeight="1" outlineLevel="3" x14ac:dyDescent="0.2">
      <c r="B175" s="13">
        <f t="shared" si="2"/>
        <v>172</v>
      </c>
      <c r="C175" s="14"/>
      <c r="D175" s="15"/>
      <c r="E175" s="14"/>
      <c r="F175" s="15"/>
    </row>
    <row r="176" spans="2:6" ht="30" hidden="1" customHeight="1" outlineLevel="4" x14ac:dyDescent="0.2">
      <c r="B176" s="33">
        <f t="shared" si="2"/>
        <v>173</v>
      </c>
      <c r="C176" s="34"/>
      <c r="D176" s="41"/>
      <c r="E176" s="34"/>
      <c r="F176" s="41"/>
    </row>
    <row r="177" spans="2:6" ht="30" hidden="1" customHeight="1" outlineLevel="4" x14ac:dyDescent="0.2">
      <c r="B177" s="33">
        <f t="shared" si="2"/>
        <v>174</v>
      </c>
      <c r="C177" s="34"/>
      <c r="D177" s="41"/>
      <c r="E177" s="34"/>
      <c r="F177" s="41"/>
    </row>
    <row r="178" spans="2:6" ht="30" hidden="1" customHeight="1" outlineLevel="4" x14ac:dyDescent="0.2">
      <c r="B178" s="33">
        <f t="shared" si="2"/>
        <v>175</v>
      </c>
      <c r="C178" s="34"/>
      <c r="D178" s="41"/>
      <c r="E178" s="34"/>
      <c r="F178" s="41"/>
    </row>
    <row r="179" spans="2:6" ht="30" hidden="1" customHeight="1" outlineLevel="4" x14ac:dyDescent="0.2">
      <c r="B179" s="33">
        <f t="shared" si="2"/>
        <v>176</v>
      </c>
      <c r="C179" s="34"/>
      <c r="D179" s="41"/>
      <c r="E179" s="34"/>
      <c r="F179" s="41"/>
    </row>
    <row r="180" spans="2:6" ht="30" hidden="1" customHeight="1" outlineLevel="4" x14ac:dyDescent="0.2">
      <c r="B180" s="33">
        <f t="shared" si="2"/>
        <v>177</v>
      </c>
      <c r="C180" s="34"/>
      <c r="D180" s="41"/>
      <c r="E180" s="34"/>
      <c r="F180" s="41"/>
    </row>
    <row r="181" spans="2:6" ht="30" hidden="1" customHeight="1" outlineLevel="4" x14ac:dyDescent="0.2">
      <c r="B181" s="33">
        <f t="shared" si="2"/>
        <v>178</v>
      </c>
      <c r="C181" s="34"/>
      <c r="D181" s="41"/>
      <c r="E181" s="38"/>
      <c r="F181" s="109"/>
    </row>
    <row r="182" spans="2:6" ht="30" hidden="1" customHeight="1" outlineLevel="4" x14ac:dyDescent="0.2">
      <c r="B182" s="33">
        <f t="shared" si="2"/>
        <v>179</v>
      </c>
      <c r="C182" s="34"/>
      <c r="D182" s="41"/>
      <c r="E182" s="34"/>
      <c r="F182" s="41"/>
    </row>
    <row r="183" spans="2:6" ht="30" hidden="1" customHeight="1" outlineLevel="3" collapsed="1" x14ac:dyDescent="0.2">
      <c r="B183" s="13">
        <f t="shared" si="2"/>
        <v>180</v>
      </c>
      <c r="C183" s="14"/>
      <c r="D183" s="15"/>
      <c r="E183" s="14"/>
      <c r="F183" s="15"/>
    </row>
    <row r="184" spans="2:6" ht="30" hidden="1" customHeight="1" outlineLevel="2" collapsed="1" x14ac:dyDescent="0.2">
      <c r="B184" s="11">
        <f t="shared" si="2"/>
        <v>181</v>
      </c>
      <c r="C184" s="12"/>
      <c r="D184" s="97"/>
      <c r="E184" s="12"/>
      <c r="F184" s="97"/>
    </row>
    <row r="185" spans="2:6" ht="30" hidden="1" customHeight="1" outlineLevel="3" x14ac:dyDescent="0.2">
      <c r="B185" s="13">
        <f t="shared" si="2"/>
        <v>182</v>
      </c>
      <c r="C185" s="14"/>
      <c r="D185" s="15"/>
      <c r="E185" s="14"/>
      <c r="F185" s="15"/>
    </row>
    <row r="186" spans="2:6" ht="30" hidden="1" customHeight="1" outlineLevel="3" x14ac:dyDescent="0.2">
      <c r="B186" s="13">
        <f t="shared" si="2"/>
        <v>183</v>
      </c>
      <c r="C186" s="14"/>
      <c r="D186" s="15"/>
      <c r="E186" s="14"/>
      <c r="F186" s="15"/>
    </row>
    <row r="187" spans="2:6" ht="30" hidden="1" customHeight="1" outlineLevel="3" x14ac:dyDescent="0.2">
      <c r="B187" s="13">
        <f t="shared" si="2"/>
        <v>184</v>
      </c>
      <c r="C187" s="14"/>
      <c r="D187" s="15"/>
      <c r="E187" s="14"/>
      <c r="F187" s="15"/>
    </row>
    <row r="188" spans="2:6" ht="30" hidden="1" customHeight="1" outlineLevel="3" x14ac:dyDescent="0.2">
      <c r="B188" s="13">
        <f t="shared" si="2"/>
        <v>185</v>
      </c>
      <c r="C188" s="14"/>
      <c r="D188" s="15"/>
      <c r="E188" s="14"/>
      <c r="F188" s="15"/>
    </row>
    <row r="189" spans="2:6" ht="30" hidden="1" customHeight="1" outlineLevel="3" x14ac:dyDescent="0.2">
      <c r="B189" s="13">
        <f t="shared" si="2"/>
        <v>186</v>
      </c>
      <c r="C189" s="14"/>
      <c r="D189" s="15"/>
      <c r="E189" s="14"/>
      <c r="F189" s="15"/>
    </row>
    <row r="190" spans="2:6" ht="30" hidden="1" customHeight="1" outlineLevel="3" x14ac:dyDescent="0.2">
      <c r="B190" s="13">
        <f t="shared" si="2"/>
        <v>187</v>
      </c>
      <c r="C190" s="14"/>
      <c r="D190" s="15"/>
      <c r="E190" s="14"/>
      <c r="F190" s="15"/>
    </row>
    <row r="191" spans="2:6" ht="30" hidden="1" customHeight="1" outlineLevel="3" x14ac:dyDescent="0.2">
      <c r="B191" s="13">
        <f t="shared" si="2"/>
        <v>188</v>
      </c>
      <c r="C191" s="14"/>
      <c r="D191" s="15"/>
      <c r="E191" s="14"/>
      <c r="F191" s="15"/>
    </row>
    <row r="192" spans="2:6" ht="30" hidden="1" customHeight="1" outlineLevel="3" x14ac:dyDescent="0.2">
      <c r="B192" s="13">
        <f t="shared" si="2"/>
        <v>189</v>
      </c>
      <c r="C192" s="14"/>
      <c r="D192" s="15"/>
      <c r="E192" s="14"/>
      <c r="F192" s="15"/>
    </row>
    <row r="193" spans="2:6" ht="30" hidden="1" customHeight="1" outlineLevel="3" x14ac:dyDescent="0.2">
      <c r="B193" s="13">
        <f t="shared" si="2"/>
        <v>190</v>
      </c>
      <c r="C193" s="14"/>
      <c r="D193" s="15"/>
      <c r="E193" s="14"/>
      <c r="F193" s="15"/>
    </row>
    <row r="194" spans="2:6" ht="30" hidden="1" customHeight="1" outlineLevel="3" x14ac:dyDescent="0.2">
      <c r="B194" s="13">
        <f t="shared" si="2"/>
        <v>191</v>
      </c>
      <c r="C194" s="14"/>
      <c r="D194" s="15"/>
      <c r="E194" s="14"/>
      <c r="F194" s="15"/>
    </row>
    <row r="195" spans="2:6" ht="30" hidden="1" customHeight="1" outlineLevel="3" x14ac:dyDescent="0.2">
      <c r="B195" s="13">
        <f t="shared" si="2"/>
        <v>192</v>
      </c>
      <c r="C195" s="14"/>
      <c r="D195" s="15"/>
      <c r="E195" s="14"/>
      <c r="F195" s="15"/>
    </row>
    <row r="196" spans="2:6" ht="30" hidden="1" customHeight="1" outlineLevel="3" x14ac:dyDescent="0.2">
      <c r="B196" s="13">
        <f t="shared" si="2"/>
        <v>193</v>
      </c>
      <c r="C196" s="14"/>
      <c r="D196" s="15"/>
      <c r="E196" s="14"/>
      <c r="F196" s="15"/>
    </row>
    <row r="197" spans="2:6" ht="30" hidden="1" customHeight="1" outlineLevel="3" x14ac:dyDescent="0.2">
      <c r="B197" s="13">
        <f t="shared" si="2"/>
        <v>194</v>
      </c>
      <c r="C197" s="14"/>
      <c r="D197" s="15"/>
      <c r="E197" s="14"/>
      <c r="F197" s="15"/>
    </row>
    <row r="198" spans="2:6" ht="30" hidden="1" customHeight="1" outlineLevel="3" x14ac:dyDescent="0.2">
      <c r="B198" s="13">
        <f t="shared" ref="B198:B261" si="3">B197+1</f>
        <v>195</v>
      </c>
      <c r="C198" s="14"/>
      <c r="D198" s="15"/>
      <c r="E198" s="14"/>
      <c r="F198" s="15"/>
    </row>
    <row r="199" spans="2:6" ht="30" hidden="1" customHeight="1" outlineLevel="3" x14ac:dyDescent="0.2">
      <c r="B199" s="13">
        <f t="shared" si="3"/>
        <v>196</v>
      </c>
      <c r="C199" s="14"/>
      <c r="D199" s="15"/>
      <c r="E199" s="14"/>
      <c r="F199" s="15"/>
    </row>
    <row r="200" spans="2:6" ht="30" hidden="1" customHeight="1" outlineLevel="3" x14ac:dyDescent="0.2">
      <c r="B200" s="13">
        <f t="shared" si="3"/>
        <v>197</v>
      </c>
      <c r="C200" s="14"/>
      <c r="D200" s="15"/>
      <c r="E200" s="14"/>
      <c r="F200" s="15"/>
    </row>
    <row r="201" spans="2:6" ht="30" hidden="1" customHeight="1" outlineLevel="3" x14ac:dyDescent="0.2">
      <c r="B201" s="13">
        <f t="shared" si="3"/>
        <v>198</v>
      </c>
      <c r="C201" s="14"/>
      <c r="D201" s="15"/>
      <c r="E201" s="14"/>
      <c r="F201" s="15"/>
    </row>
    <row r="202" spans="2:6" ht="30" hidden="1" customHeight="1" outlineLevel="3" x14ac:dyDescent="0.2">
      <c r="B202" s="13">
        <f t="shared" si="3"/>
        <v>199</v>
      </c>
      <c r="C202" s="14"/>
      <c r="D202" s="15"/>
      <c r="E202" s="14"/>
      <c r="F202" s="15"/>
    </row>
    <row r="203" spans="2:6" ht="30" hidden="1" customHeight="1" outlineLevel="3" x14ac:dyDescent="0.2">
      <c r="B203" s="13">
        <f t="shared" si="3"/>
        <v>200</v>
      </c>
      <c r="C203" s="14"/>
      <c r="D203" s="15"/>
      <c r="E203" s="14"/>
      <c r="F203" s="15"/>
    </row>
    <row r="204" spans="2:6" ht="30" hidden="1" customHeight="1" outlineLevel="3" x14ac:dyDescent="0.2">
      <c r="B204" s="13">
        <f t="shared" si="3"/>
        <v>201</v>
      </c>
      <c r="C204" s="14"/>
      <c r="D204" s="15"/>
      <c r="E204" s="14"/>
      <c r="F204" s="15"/>
    </row>
    <row r="205" spans="2:6" ht="30" hidden="1" customHeight="1" outlineLevel="3" x14ac:dyDescent="0.2">
      <c r="B205" s="13">
        <f t="shared" si="3"/>
        <v>202</v>
      </c>
      <c r="C205" s="14"/>
      <c r="D205" s="15"/>
      <c r="E205" s="39"/>
      <c r="F205" s="15"/>
    </row>
    <row r="206" spans="2:6" ht="30" hidden="1" customHeight="1" outlineLevel="3" x14ac:dyDescent="0.2">
      <c r="B206" s="13">
        <f t="shared" si="3"/>
        <v>203</v>
      </c>
      <c r="C206" s="14"/>
      <c r="D206" s="15"/>
      <c r="E206" s="39"/>
      <c r="F206" s="15"/>
    </row>
    <row r="207" spans="2:6" ht="30" hidden="1" customHeight="1" outlineLevel="3" x14ac:dyDescent="0.2">
      <c r="B207" s="13">
        <f t="shared" si="3"/>
        <v>204</v>
      </c>
      <c r="C207" s="14"/>
      <c r="D207" s="15"/>
      <c r="E207" s="39"/>
      <c r="F207" s="15"/>
    </row>
    <row r="208" spans="2:6" ht="30" hidden="1" customHeight="1" outlineLevel="3" x14ac:dyDescent="0.2">
      <c r="B208" s="13">
        <f t="shared" si="3"/>
        <v>205</v>
      </c>
      <c r="C208" s="14"/>
      <c r="D208" s="15"/>
      <c r="E208" s="14"/>
      <c r="F208" s="15"/>
    </row>
    <row r="209" spans="2:6" ht="30" hidden="1" customHeight="1" outlineLevel="2" collapsed="1" x14ac:dyDescent="0.2">
      <c r="B209" s="11">
        <f t="shared" si="3"/>
        <v>206</v>
      </c>
      <c r="C209" s="12"/>
      <c r="D209" s="97"/>
      <c r="E209" s="17"/>
      <c r="F209" s="31"/>
    </row>
    <row r="210" spans="2:6" ht="30" hidden="1" customHeight="1" outlineLevel="2" x14ac:dyDescent="0.2">
      <c r="B210" s="11">
        <f t="shared" si="3"/>
        <v>207</v>
      </c>
      <c r="C210" s="12"/>
      <c r="D210" s="97"/>
      <c r="E210" s="12"/>
      <c r="F210" s="97"/>
    </row>
    <row r="211" spans="2:6" ht="30" hidden="1" customHeight="1" outlineLevel="3" x14ac:dyDescent="0.2">
      <c r="B211" s="13">
        <f t="shared" si="3"/>
        <v>208</v>
      </c>
      <c r="C211" s="14"/>
      <c r="D211" s="15"/>
      <c r="E211" s="14"/>
      <c r="F211" s="15"/>
    </row>
    <row r="212" spans="2:6" ht="30" hidden="1" customHeight="1" outlineLevel="3" x14ac:dyDescent="0.2">
      <c r="B212" s="13">
        <f t="shared" si="3"/>
        <v>209</v>
      </c>
      <c r="C212" s="14"/>
      <c r="D212" s="15"/>
      <c r="E212" s="14"/>
      <c r="F212" s="15"/>
    </row>
    <row r="213" spans="2:6" ht="30" hidden="1" customHeight="1" outlineLevel="3" x14ac:dyDescent="0.2">
      <c r="B213" s="13">
        <f t="shared" si="3"/>
        <v>210</v>
      </c>
      <c r="C213" s="14"/>
      <c r="D213" s="15"/>
      <c r="E213" s="14"/>
      <c r="F213" s="15"/>
    </row>
    <row r="214" spans="2:6" ht="30" hidden="1" customHeight="1" outlineLevel="3" x14ac:dyDescent="0.2">
      <c r="B214" s="13">
        <f t="shared" si="3"/>
        <v>211</v>
      </c>
      <c r="C214" s="14"/>
      <c r="D214" s="15"/>
      <c r="E214" s="14"/>
      <c r="F214" s="15"/>
    </row>
    <row r="215" spans="2:6" ht="30" hidden="1" customHeight="1" outlineLevel="3" x14ac:dyDescent="0.2">
      <c r="B215" s="13">
        <f t="shared" si="3"/>
        <v>212</v>
      </c>
      <c r="C215" s="14"/>
      <c r="D215" s="15"/>
      <c r="E215" s="14"/>
      <c r="F215" s="15"/>
    </row>
    <row r="216" spans="2:6" ht="30" hidden="1" customHeight="1" outlineLevel="3" x14ac:dyDescent="0.2">
      <c r="B216" s="13">
        <f t="shared" si="3"/>
        <v>213</v>
      </c>
      <c r="C216" s="14"/>
      <c r="D216" s="15"/>
      <c r="E216" s="14"/>
      <c r="F216" s="15"/>
    </row>
    <row r="217" spans="2:6" ht="30" hidden="1" customHeight="1" outlineLevel="3" x14ac:dyDescent="0.2">
      <c r="B217" s="13">
        <f t="shared" si="3"/>
        <v>214</v>
      </c>
      <c r="C217" s="14"/>
      <c r="D217" s="15"/>
      <c r="E217" s="14"/>
      <c r="F217" s="15"/>
    </row>
    <row r="218" spans="2:6" ht="30" hidden="1" customHeight="1" outlineLevel="3" x14ac:dyDescent="0.2">
      <c r="B218" s="13">
        <f t="shared" si="3"/>
        <v>215</v>
      </c>
      <c r="C218" s="14"/>
      <c r="D218" s="15"/>
      <c r="E218" s="14"/>
      <c r="F218" s="15"/>
    </row>
    <row r="219" spans="2:6" ht="30" hidden="1" customHeight="1" outlineLevel="3" x14ac:dyDescent="0.2">
      <c r="B219" s="13">
        <f t="shared" si="3"/>
        <v>216</v>
      </c>
      <c r="C219" s="14"/>
      <c r="D219" s="15"/>
      <c r="E219" s="14"/>
      <c r="F219" s="15"/>
    </row>
    <row r="220" spans="2:6" ht="30" hidden="1" customHeight="1" outlineLevel="3" x14ac:dyDescent="0.2">
      <c r="B220" s="13">
        <f t="shared" si="3"/>
        <v>217</v>
      </c>
      <c r="C220" s="14"/>
      <c r="D220" s="15"/>
      <c r="E220" s="14"/>
      <c r="F220" s="15"/>
    </row>
    <row r="221" spans="2:6" ht="30" hidden="1" customHeight="1" outlineLevel="3" x14ac:dyDescent="0.2">
      <c r="B221" s="13">
        <f t="shared" si="3"/>
        <v>218</v>
      </c>
      <c r="C221" s="14"/>
      <c r="D221" s="15"/>
      <c r="E221" s="14"/>
      <c r="F221" s="15"/>
    </row>
    <row r="222" spans="2:6" ht="30" hidden="1" customHeight="1" outlineLevel="3" x14ac:dyDescent="0.2">
      <c r="B222" s="13">
        <f t="shared" si="3"/>
        <v>219</v>
      </c>
      <c r="C222" s="14"/>
      <c r="D222" s="15"/>
      <c r="E222" s="14"/>
      <c r="F222" s="15"/>
    </row>
    <row r="223" spans="2:6" ht="30" hidden="1" customHeight="1" outlineLevel="3" x14ac:dyDescent="0.2">
      <c r="B223" s="13">
        <f t="shared" si="3"/>
        <v>220</v>
      </c>
      <c r="C223" s="14"/>
      <c r="D223" s="15"/>
      <c r="E223" s="40"/>
      <c r="F223" s="106"/>
    </row>
    <row r="224" spans="2:6" ht="30" hidden="1" customHeight="1" outlineLevel="3" x14ac:dyDescent="0.2">
      <c r="B224" s="13">
        <f t="shared" si="3"/>
        <v>221</v>
      </c>
      <c r="C224" s="14"/>
      <c r="D224" s="15"/>
      <c r="E224" s="40"/>
      <c r="F224" s="106"/>
    </row>
    <row r="225" spans="2:6" ht="30" hidden="1" customHeight="1" outlineLevel="3" x14ac:dyDescent="0.2">
      <c r="B225" s="13">
        <f t="shared" si="3"/>
        <v>222</v>
      </c>
      <c r="C225" s="14"/>
      <c r="D225" s="15"/>
      <c r="E225" s="40"/>
      <c r="F225" s="106"/>
    </row>
    <row r="226" spans="2:6" ht="30" hidden="1" customHeight="1" outlineLevel="3" x14ac:dyDescent="0.2">
      <c r="B226" s="13">
        <f t="shared" si="3"/>
        <v>223</v>
      </c>
      <c r="C226" s="14"/>
      <c r="D226" s="15"/>
      <c r="E226" s="40"/>
      <c r="F226" s="106"/>
    </row>
    <row r="227" spans="2:6" ht="30" hidden="1" customHeight="1" outlineLevel="3" x14ac:dyDescent="0.2">
      <c r="B227" s="13">
        <f t="shared" si="3"/>
        <v>224</v>
      </c>
      <c r="C227" s="14"/>
      <c r="D227" s="15"/>
      <c r="E227" s="40"/>
      <c r="F227" s="106"/>
    </row>
    <row r="228" spans="2:6" ht="30" hidden="1" customHeight="1" outlineLevel="3" x14ac:dyDescent="0.2">
      <c r="B228" s="13">
        <f t="shared" si="3"/>
        <v>225</v>
      </c>
      <c r="C228" s="14"/>
      <c r="D228" s="15"/>
      <c r="E228" s="40"/>
      <c r="F228" s="106"/>
    </row>
    <row r="229" spans="2:6" ht="30" hidden="1" customHeight="1" outlineLevel="2" collapsed="1" x14ac:dyDescent="0.2">
      <c r="B229" s="11">
        <f t="shared" si="3"/>
        <v>226</v>
      </c>
      <c r="C229" s="12"/>
      <c r="D229" s="97"/>
      <c r="E229" s="12"/>
      <c r="F229" s="97"/>
    </row>
    <row r="230" spans="2:6" ht="30" hidden="1" customHeight="1" outlineLevel="3" x14ac:dyDescent="0.2">
      <c r="B230" s="13">
        <f t="shared" si="3"/>
        <v>227</v>
      </c>
      <c r="C230" s="14"/>
      <c r="D230" s="15"/>
      <c r="E230" s="14"/>
      <c r="F230" s="15"/>
    </row>
    <row r="231" spans="2:6" ht="30" hidden="1" customHeight="1" outlineLevel="4" x14ac:dyDescent="0.2">
      <c r="B231" s="33">
        <f t="shared" si="3"/>
        <v>228</v>
      </c>
      <c r="C231" s="34"/>
      <c r="D231" s="41"/>
      <c r="E231" s="34"/>
      <c r="F231" s="41"/>
    </row>
    <row r="232" spans="2:6" ht="30" hidden="1" customHeight="1" outlineLevel="4" x14ac:dyDescent="0.2">
      <c r="B232" s="33">
        <f t="shared" si="3"/>
        <v>229</v>
      </c>
      <c r="C232" s="34"/>
      <c r="D232" s="41"/>
      <c r="E232" s="41"/>
      <c r="F232" s="41"/>
    </row>
    <row r="233" spans="2:6" ht="30" hidden="1" customHeight="1" outlineLevel="4" x14ac:dyDescent="0.2">
      <c r="B233" s="33">
        <f t="shared" si="3"/>
        <v>230</v>
      </c>
      <c r="C233" s="34"/>
      <c r="D233" s="41"/>
      <c r="E233" s="41"/>
      <c r="F233" s="41"/>
    </row>
    <row r="234" spans="2:6" ht="30" hidden="1" customHeight="1" outlineLevel="4" x14ac:dyDescent="0.2">
      <c r="B234" s="33">
        <f t="shared" si="3"/>
        <v>231</v>
      </c>
      <c r="C234" s="34"/>
      <c r="D234" s="41"/>
      <c r="E234" s="34"/>
      <c r="F234" s="41"/>
    </row>
    <row r="235" spans="2:6" ht="30" hidden="1" customHeight="1" outlineLevel="4" x14ac:dyDescent="0.2">
      <c r="B235" s="33">
        <f t="shared" si="3"/>
        <v>232</v>
      </c>
      <c r="C235" s="34"/>
      <c r="D235" s="41"/>
      <c r="E235" s="34"/>
      <c r="F235" s="41"/>
    </row>
    <row r="236" spans="2:6" ht="30" hidden="1" customHeight="1" outlineLevel="4" x14ac:dyDescent="0.2">
      <c r="B236" s="33">
        <f t="shared" si="3"/>
        <v>233</v>
      </c>
      <c r="C236" s="34"/>
      <c r="D236" s="41"/>
      <c r="E236" s="34"/>
      <c r="F236" s="41"/>
    </row>
    <row r="237" spans="2:6" ht="30" hidden="1" customHeight="1" outlineLevel="4" x14ac:dyDescent="0.2">
      <c r="B237" s="33">
        <f t="shared" si="3"/>
        <v>234</v>
      </c>
      <c r="C237" s="34"/>
      <c r="D237" s="41"/>
      <c r="E237" s="34"/>
      <c r="F237" s="41"/>
    </row>
    <row r="238" spans="2:6" ht="30" hidden="1" customHeight="1" outlineLevel="3" collapsed="1" x14ac:dyDescent="0.2">
      <c r="B238" s="13">
        <f t="shared" si="3"/>
        <v>235</v>
      </c>
      <c r="C238" s="14"/>
      <c r="D238" s="15"/>
      <c r="E238" s="14"/>
      <c r="F238" s="15"/>
    </row>
    <row r="239" spans="2:6" ht="30" hidden="1" customHeight="1" outlineLevel="4" x14ac:dyDescent="0.2">
      <c r="B239" s="33">
        <f t="shared" si="3"/>
        <v>236</v>
      </c>
      <c r="C239" s="34"/>
      <c r="D239" s="41"/>
      <c r="E239" s="34"/>
      <c r="F239" s="41"/>
    </row>
    <row r="240" spans="2:6" ht="30" hidden="1" customHeight="1" outlineLevel="4" x14ac:dyDescent="0.2">
      <c r="B240" s="33">
        <f t="shared" si="3"/>
        <v>237</v>
      </c>
      <c r="C240" s="34"/>
      <c r="D240" s="41"/>
      <c r="E240" s="34"/>
      <c r="F240" s="41"/>
    </row>
    <row r="241" spans="2:6" ht="30" hidden="1" customHeight="1" outlineLevel="4" x14ac:dyDescent="0.2">
      <c r="B241" s="33">
        <f t="shared" si="3"/>
        <v>238</v>
      </c>
      <c r="C241" s="34"/>
      <c r="D241" s="41"/>
      <c r="E241" s="34"/>
      <c r="F241" s="41"/>
    </row>
    <row r="242" spans="2:6" ht="30" hidden="1" customHeight="1" outlineLevel="4" x14ac:dyDescent="0.2">
      <c r="B242" s="33">
        <f t="shared" si="3"/>
        <v>239</v>
      </c>
      <c r="C242" s="34"/>
      <c r="D242" s="41"/>
      <c r="E242" s="34"/>
      <c r="F242" s="41"/>
    </row>
    <row r="243" spans="2:6" ht="30" hidden="1" customHeight="1" outlineLevel="4" x14ac:dyDescent="0.2">
      <c r="B243" s="33">
        <f t="shared" si="3"/>
        <v>240</v>
      </c>
      <c r="C243" s="34"/>
      <c r="D243" s="41"/>
      <c r="E243" s="34"/>
      <c r="F243" s="41"/>
    </row>
    <row r="244" spans="2:6" ht="30" hidden="1" customHeight="1" outlineLevel="4" x14ac:dyDescent="0.2">
      <c r="B244" s="33">
        <f t="shared" si="3"/>
        <v>241</v>
      </c>
      <c r="C244" s="34"/>
      <c r="D244" s="41"/>
      <c r="E244" s="34"/>
      <c r="F244" s="41"/>
    </row>
    <row r="245" spans="2:6" ht="30" hidden="1" customHeight="1" outlineLevel="4" x14ac:dyDescent="0.2">
      <c r="B245" s="33">
        <f t="shared" si="3"/>
        <v>242</v>
      </c>
      <c r="C245" s="34"/>
      <c r="D245" s="41"/>
      <c r="E245" s="34"/>
      <c r="F245" s="41"/>
    </row>
    <row r="246" spans="2:6" ht="30" hidden="1" customHeight="1" outlineLevel="4" x14ac:dyDescent="0.2">
      <c r="B246" s="33">
        <f t="shared" si="3"/>
        <v>243</v>
      </c>
      <c r="C246" s="34"/>
      <c r="D246" s="41"/>
      <c r="E246" s="34"/>
      <c r="F246" s="41"/>
    </row>
    <row r="247" spans="2:6" ht="30" hidden="1" customHeight="1" outlineLevel="4" x14ac:dyDescent="0.2">
      <c r="B247" s="33">
        <f t="shared" si="3"/>
        <v>244</v>
      </c>
      <c r="C247" s="34"/>
      <c r="D247" s="41"/>
      <c r="E247" s="34"/>
      <c r="F247" s="41"/>
    </row>
    <row r="248" spans="2:6" ht="30" hidden="1" customHeight="1" outlineLevel="4" x14ac:dyDescent="0.2">
      <c r="B248" s="33">
        <f t="shared" si="3"/>
        <v>245</v>
      </c>
      <c r="C248" s="34"/>
      <c r="D248" s="41"/>
      <c r="E248" s="34"/>
      <c r="F248" s="41"/>
    </row>
    <row r="249" spans="2:6" ht="30" hidden="1" customHeight="1" outlineLevel="4" x14ac:dyDescent="0.2">
      <c r="B249" s="33">
        <f t="shared" si="3"/>
        <v>246</v>
      </c>
      <c r="C249" s="34"/>
      <c r="D249" s="41"/>
      <c r="E249" s="34"/>
      <c r="F249" s="41"/>
    </row>
    <row r="250" spans="2:6" ht="30" hidden="1" customHeight="1" outlineLevel="4" x14ac:dyDescent="0.2">
      <c r="B250" s="33">
        <f t="shared" si="3"/>
        <v>247</v>
      </c>
      <c r="C250" s="34"/>
      <c r="D250" s="41"/>
      <c r="E250" s="34"/>
      <c r="F250" s="41"/>
    </row>
    <row r="251" spans="2:6" ht="30" hidden="1" customHeight="1" outlineLevel="4" x14ac:dyDescent="0.2">
      <c r="B251" s="33">
        <f t="shared" si="3"/>
        <v>248</v>
      </c>
      <c r="C251" s="34"/>
      <c r="D251" s="41"/>
      <c r="E251" s="34"/>
      <c r="F251" s="41"/>
    </row>
    <row r="252" spans="2:6" ht="30" hidden="1" customHeight="1" outlineLevel="4" x14ac:dyDescent="0.2">
      <c r="B252" s="33">
        <f t="shared" si="3"/>
        <v>249</v>
      </c>
      <c r="C252" s="34"/>
      <c r="D252" s="41"/>
      <c r="E252" s="34"/>
      <c r="F252" s="41"/>
    </row>
    <row r="253" spans="2:6" ht="30" hidden="1" customHeight="1" outlineLevel="4" x14ac:dyDescent="0.2">
      <c r="B253" s="33">
        <f t="shared" si="3"/>
        <v>250</v>
      </c>
      <c r="C253" s="34"/>
      <c r="D253" s="41"/>
      <c r="E253" s="41"/>
      <c r="F253" s="41"/>
    </row>
    <row r="254" spans="2:6" ht="30" hidden="1" customHeight="1" outlineLevel="4" x14ac:dyDescent="0.2">
      <c r="B254" s="33">
        <f t="shared" si="3"/>
        <v>251</v>
      </c>
      <c r="C254" s="34"/>
      <c r="D254" s="41"/>
      <c r="E254" s="41"/>
      <c r="F254" s="41"/>
    </row>
    <row r="255" spans="2:6" ht="30" hidden="1" customHeight="1" outlineLevel="4" x14ac:dyDescent="0.2">
      <c r="B255" s="33">
        <f t="shared" si="3"/>
        <v>252</v>
      </c>
      <c r="C255" s="34"/>
      <c r="D255" s="41"/>
      <c r="E255" s="41"/>
      <c r="F255" s="41"/>
    </row>
    <row r="256" spans="2:6" ht="30" hidden="1" customHeight="1" outlineLevel="3" collapsed="1" x14ac:dyDescent="0.2">
      <c r="B256" s="13">
        <f>B255+1</f>
        <v>253</v>
      </c>
      <c r="C256" s="14"/>
      <c r="D256" s="15"/>
      <c r="E256" s="14"/>
      <c r="F256" s="15"/>
    </row>
    <row r="257" spans="2:6" ht="30" hidden="1" customHeight="1" outlineLevel="4" x14ac:dyDescent="0.2">
      <c r="B257" s="33">
        <f t="shared" si="3"/>
        <v>254</v>
      </c>
      <c r="C257" s="34"/>
      <c r="D257" s="41"/>
      <c r="E257" s="34"/>
      <c r="F257" s="41"/>
    </row>
    <row r="258" spans="2:6" ht="30" hidden="1" customHeight="1" outlineLevel="4" x14ac:dyDescent="0.2">
      <c r="B258" s="33">
        <f t="shared" si="3"/>
        <v>255</v>
      </c>
      <c r="C258" s="34"/>
      <c r="D258" s="41"/>
      <c r="E258" s="34"/>
      <c r="F258" s="41"/>
    </row>
    <row r="259" spans="2:6" ht="30" hidden="1" customHeight="1" outlineLevel="4" x14ac:dyDescent="0.2">
      <c r="B259" s="33">
        <f t="shared" si="3"/>
        <v>256</v>
      </c>
      <c r="C259" s="34"/>
      <c r="D259" s="41"/>
      <c r="E259" s="34"/>
      <c r="F259" s="41"/>
    </row>
    <row r="260" spans="2:6" ht="30" hidden="1" customHeight="1" outlineLevel="4" x14ac:dyDescent="0.2">
      <c r="B260" s="33">
        <f t="shared" si="3"/>
        <v>257</v>
      </c>
      <c r="C260" s="34"/>
      <c r="D260" s="41"/>
      <c r="E260" s="34"/>
      <c r="F260" s="41"/>
    </row>
    <row r="261" spans="2:6" ht="30" hidden="1" customHeight="1" outlineLevel="4" x14ac:dyDescent="0.2">
      <c r="B261" s="33">
        <f t="shared" si="3"/>
        <v>258</v>
      </c>
      <c r="C261" s="34"/>
      <c r="D261" s="41"/>
      <c r="E261" s="34"/>
      <c r="F261" s="41"/>
    </row>
    <row r="262" spans="2:6" ht="30" hidden="1" customHeight="1" outlineLevel="4" x14ac:dyDescent="0.2">
      <c r="B262" s="33">
        <f t="shared" ref="B262:B325" si="4">B261+1</f>
        <v>259</v>
      </c>
      <c r="C262" s="34"/>
      <c r="D262" s="41"/>
      <c r="E262" s="34"/>
      <c r="F262" s="41"/>
    </row>
    <row r="263" spans="2:6" ht="30" hidden="1" customHeight="1" outlineLevel="4" x14ac:dyDescent="0.2">
      <c r="B263" s="33">
        <f t="shared" si="4"/>
        <v>260</v>
      </c>
      <c r="C263" s="34"/>
      <c r="D263" s="41"/>
      <c r="E263" s="34"/>
      <c r="F263" s="41"/>
    </row>
    <row r="264" spans="2:6" ht="30" hidden="1" customHeight="1" outlineLevel="4" x14ac:dyDescent="0.2">
      <c r="B264" s="33">
        <f t="shared" si="4"/>
        <v>261</v>
      </c>
      <c r="C264" s="34"/>
      <c r="D264" s="41"/>
      <c r="E264" s="34"/>
      <c r="F264" s="41"/>
    </row>
    <row r="265" spans="2:6" ht="30" hidden="1" customHeight="1" outlineLevel="4" x14ac:dyDescent="0.2">
      <c r="B265" s="33">
        <f t="shared" si="4"/>
        <v>262</v>
      </c>
      <c r="C265" s="34"/>
      <c r="D265" s="41"/>
      <c r="E265" s="34"/>
      <c r="F265" s="41"/>
    </row>
    <row r="266" spans="2:6" ht="30" hidden="1" customHeight="1" outlineLevel="4" x14ac:dyDescent="0.2">
      <c r="B266" s="33">
        <f t="shared" si="4"/>
        <v>263</v>
      </c>
      <c r="C266" s="34"/>
      <c r="D266" s="41"/>
      <c r="E266" s="34"/>
      <c r="F266" s="41"/>
    </row>
    <row r="267" spans="2:6" ht="30" hidden="1" customHeight="1" outlineLevel="4" x14ac:dyDescent="0.2">
      <c r="B267" s="33">
        <f t="shared" si="4"/>
        <v>264</v>
      </c>
      <c r="C267" s="34"/>
      <c r="D267" s="41"/>
      <c r="E267" s="34"/>
      <c r="F267" s="41"/>
    </row>
    <row r="268" spans="2:6" ht="30" hidden="1" customHeight="1" outlineLevel="4" x14ac:dyDescent="0.2">
      <c r="B268" s="33">
        <f t="shared" si="4"/>
        <v>265</v>
      </c>
      <c r="C268" s="34"/>
      <c r="D268" s="41"/>
      <c r="E268" s="34"/>
      <c r="F268" s="41"/>
    </row>
    <row r="269" spans="2:6" ht="30" hidden="1" customHeight="1" outlineLevel="3" collapsed="1" x14ac:dyDescent="0.2">
      <c r="B269" s="13">
        <f t="shared" si="4"/>
        <v>266</v>
      </c>
      <c r="C269" s="14"/>
      <c r="D269" s="15"/>
      <c r="E269" s="14"/>
      <c r="F269" s="15"/>
    </row>
    <row r="270" spans="2:6" ht="30" hidden="1" customHeight="1" outlineLevel="3" x14ac:dyDescent="0.2">
      <c r="B270" s="13">
        <f t="shared" si="4"/>
        <v>267</v>
      </c>
      <c r="C270" s="14"/>
      <c r="D270" s="15"/>
      <c r="E270" s="14"/>
      <c r="F270" s="15"/>
    </row>
    <row r="271" spans="2:6" ht="30" hidden="1" customHeight="1" outlineLevel="4" x14ac:dyDescent="0.2">
      <c r="B271" s="33">
        <f t="shared" si="4"/>
        <v>268</v>
      </c>
      <c r="C271" s="34"/>
      <c r="D271" s="41"/>
      <c r="E271" s="34"/>
      <c r="F271" s="41"/>
    </row>
    <row r="272" spans="2:6" ht="30" hidden="1" customHeight="1" outlineLevel="4" x14ac:dyDescent="0.2">
      <c r="B272" s="33">
        <f t="shared" si="4"/>
        <v>269</v>
      </c>
      <c r="C272" s="34"/>
      <c r="D272" s="41"/>
      <c r="E272" s="34"/>
      <c r="F272" s="41"/>
    </row>
    <row r="273" spans="2:6" ht="30" hidden="1" customHeight="1" outlineLevel="2" collapsed="1" x14ac:dyDescent="0.2">
      <c r="B273" s="11">
        <f t="shared" si="4"/>
        <v>270</v>
      </c>
      <c r="C273" s="12"/>
      <c r="D273" s="97"/>
      <c r="E273" s="12"/>
      <c r="F273" s="97"/>
    </row>
    <row r="274" spans="2:6" ht="30" hidden="1" customHeight="1" outlineLevel="3" x14ac:dyDescent="0.2">
      <c r="B274" s="13">
        <f t="shared" si="4"/>
        <v>271</v>
      </c>
      <c r="C274" s="14"/>
      <c r="D274" s="15"/>
      <c r="E274" s="14"/>
      <c r="F274" s="15"/>
    </row>
    <row r="275" spans="2:6" ht="30" hidden="1" customHeight="1" outlineLevel="3" x14ac:dyDescent="0.2">
      <c r="B275" s="13">
        <f t="shared" si="4"/>
        <v>272</v>
      </c>
      <c r="C275" s="14"/>
      <c r="D275" s="15"/>
      <c r="E275" s="15"/>
      <c r="F275" s="15"/>
    </row>
    <row r="276" spans="2:6" ht="30" hidden="1" customHeight="1" outlineLevel="3" x14ac:dyDescent="0.2">
      <c r="B276" s="13">
        <f t="shared" si="4"/>
        <v>273</v>
      </c>
      <c r="C276" s="14"/>
      <c r="D276" s="15"/>
      <c r="E276" s="14"/>
      <c r="F276" s="15"/>
    </row>
    <row r="277" spans="2:6" ht="30" hidden="1" customHeight="1" outlineLevel="1" collapsed="1" x14ac:dyDescent="0.2">
      <c r="B277" s="9">
        <f t="shared" si="4"/>
        <v>274</v>
      </c>
      <c r="C277" s="10" t="s">
        <v>549</v>
      </c>
      <c r="D277" s="67" t="s">
        <v>1023</v>
      </c>
      <c r="E277" s="10" t="s">
        <v>550</v>
      </c>
      <c r="F277" s="67" t="s">
        <v>1326</v>
      </c>
    </row>
    <row r="278" spans="2:6" ht="30" hidden="1" customHeight="1" outlineLevel="2" x14ac:dyDescent="0.2">
      <c r="B278" s="11">
        <f t="shared" si="4"/>
        <v>275</v>
      </c>
      <c r="C278" s="12"/>
      <c r="D278" s="97"/>
      <c r="E278" s="23"/>
      <c r="F278" s="103"/>
    </row>
    <row r="279" spans="2:6" ht="30" hidden="1" customHeight="1" outlineLevel="3" x14ac:dyDescent="0.2">
      <c r="B279" s="13">
        <f t="shared" si="4"/>
        <v>276</v>
      </c>
      <c r="C279" s="14"/>
      <c r="D279" s="15"/>
      <c r="E279" s="14"/>
      <c r="F279" s="15"/>
    </row>
    <row r="280" spans="2:6" ht="30" hidden="1" customHeight="1" outlineLevel="3" x14ac:dyDescent="0.2">
      <c r="B280" s="13">
        <f t="shared" si="4"/>
        <v>277</v>
      </c>
      <c r="C280" s="14"/>
      <c r="D280" s="15"/>
      <c r="E280" s="15"/>
      <c r="F280" s="15"/>
    </row>
    <row r="281" spans="2:6" ht="30" hidden="1" customHeight="1" outlineLevel="3" x14ac:dyDescent="0.2">
      <c r="B281" s="13">
        <f t="shared" si="4"/>
        <v>278</v>
      </c>
      <c r="C281" s="14"/>
      <c r="D281" s="15"/>
      <c r="E281" s="14"/>
      <c r="F281" s="15"/>
    </row>
    <row r="282" spans="2:6" ht="30" hidden="1" customHeight="1" outlineLevel="3" x14ac:dyDescent="0.2">
      <c r="B282" s="13">
        <f t="shared" si="4"/>
        <v>279</v>
      </c>
      <c r="C282" s="14"/>
      <c r="D282" s="15"/>
      <c r="E282" s="14"/>
      <c r="F282" s="15"/>
    </row>
    <row r="283" spans="2:6" ht="30" hidden="1" customHeight="1" outlineLevel="3" x14ac:dyDescent="0.2">
      <c r="B283" s="13">
        <f t="shared" si="4"/>
        <v>280</v>
      </c>
      <c r="C283" s="14"/>
      <c r="D283" s="15"/>
      <c r="E283" s="15"/>
      <c r="F283" s="15"/>
    </row>
    <row r="284" spans="2:6" ht="30" hidden="1" customHeight="1" outlineLevel="3" x14ac:dyDescent="0.2">
      <c r="B284" s="13">
        <f t="shared" si="4"/>
        <v>281</v>
      </c>
      <c r="C284" s="14"/>
      <c r="D284" s="15"/>
      <c r="E284" s="15"/>
      <c r="F284" s="15"/>
    </row>
    <row r="285" spans="2:6" ht="30" hidden="1" customHeight="1" outlineLevel="2" collapsed="1" x14ac:dyDescent="0.2">
      <c r="B285" s="11">
        <f t="shared" si="4"/>
        <v>282</v>
      </c>
      <c r="C285" s="12"/>
      <c r="D285" s="97"/>
      <c r="E285" s="23"/>
      <c r="F285" s="103"/>
    </row>
    <row r="286" spans="2:6" ht="30" hidden="1" customHeight="1" outlineLevel="2" x14ac:dyDescent="0.2">
      <c r="B286" s="11">
        <f t="shared" si="4"/>
        <v>283</v>
      </c>
      <c r="C286" s="12"/>
      <c r="D286" s="97"/>
      <c r="E286" s="12"/>
      <c r="F286" s="97"/>
    </row>
    <row r="287" spans="2:6" ht="30" hidden="1" customHeight="1" outlineLevel="2" x14ac:dyDescent="0.2">
      <c r="B287" s="11">
        <f t="shared" si="4"/>
        <v>284</v>
      </c>
      <c r="C287" s="12"/>
      <c r="D287" s="97"/>
      <c r="E287" s="12"/>
      <c r="F287" s="97"/>
    </row>
    <row r="288" spans="2:6" ht="30" hidden="1" customHeight="1" outlineLevel="1" collapsed="1" x14ac:dyDescent="0.2">
      <c r="B288" s="9">
        <f t="shared" si="4"/>
        <v>285</v>
      </c>
      <c r="C288" s="10" t="s">
        <v>571</v>
      </c>
      <c r="D288" s="67" t="s">
        <v>949</v>
      </c>
      <c r="E288" s="10" t="s">
        <v>572</v>
      </c>
      <c r="F288" s="67" t="s">
        <v>1324</v>
      </c>
    </row>
    <row r="289" spans="2:6" ht="30" hidden="1" customHeight="1" outlineLevel="2" x14ac:dyDescent="0.2">
      <c r="B289" s="11">
        <f t="shared" si="4"/>
        <v>286</v>
      </c>
      <c r="C289" s="12"/>
      <c r="D289" s="97"/>
      <c r="E289" s="23"/>
      <c r="F289" s="103"/>
    </row>
    <row r="290" spans="2:6" ht="30" hidden="1" customHeight="1" outlineLevel="3" x14ac:dyDescent="0.2">
      <c r="B290" s="13">
        <f t="shared" si="4"/>
        <v>287</v>
      </c>
      <c r="C290" s="14"/>
      <c r="D290" s="15"/>
      <c r="E290" s="14"/>
      <c r="F290" s="15"/>
    </row>
    <row r="291" spans="2:6" ht="30" hidden="1" customHeight="1" outlineLevel="3" x14ac:dyDescent="0.2">
      <c r="B291" s="13">
        <f t="shared" si="4"/>
        <v>288</v>
      </c>
      <c r="C291" s="14"/>
      <c r="D291" s="15"/>
      <c r="E291" s="15"/>
      <c r="F291" s="15"/>
    </row>
    <row r="292" spans="2:6" ht="30" hidden="1" customHeight="1" outlineLevel="3" x14ac:dyDescent="0.2">
      <c r="B292" s="13">
        <f t="shared" si="4"/>
        <v>289</v>
      </c>
      <c r="C292" s="14"/>
      <c r="D292" s="15"/>
      <c r="E292" s="14"/>
      <c r="F292" s="15"/>
    </row>
    <row r="293" spans="2:6" ht="30" hidden="1" customHeight="1" outlineLevel="3" x14ac:dyDescent="0.2">
      <c r="B293" s="13">
        <f t="shared" si="4"/>
        <v>290</v>
      </c>
      <c r="C293" s="14"/>
      <c r="D293" s="15"/>
      <c r="E293" s="15"/>
      <c r="F293" s="15"/>
    </row>
    <row r="294" spans="2:6" ht="30" hidden="1" customHeight="1" outlineLevel="3" x14ac:dyDescent="0.2">
      <c r="B294" s="13">
        <f t="shared" si="4"/>
        <v>291</v>
      </c>
      <c r="C294" s="14"/>
      <c r="D294" s="15"/>
      <c r="E294" s="15"/>
      <c r="F294" s="15"/>
    </row>
    <row r="295" spans="2:6" ht="30" hidden="1" customHeight="1" outlineLevel="2" collapsed="1" x14ac:dyDescent="0.2">
      <c r="B295" s="11">
        <f t="shared" si="4"/>
        <v>292</v>
      </c>
      <c r="C295" s="12"/>
      <c r="D295" s="97"/>
      <c r="E295" s="23"/>
      <c r="F295" s="103"/>
    </row>
    <row r="296" spans="2:6" ht="30" hidden="1" customHeight="1" outlineLevel="3" x14ac:dyDescent="0.2">
      <c r="B296" s="13">
        <f t="shared" si="4"/>
        <v>293</v>
      </c>
      <c r="C296" s="14"/>
      <c r="D296" s="15"/>
      <c r="E296" s="14"/>
      <c r="F296" s="15"/>
    </row>
    <row r="297" spans="2:6" ht="30" hidden="1" customHeight="1" outlineLevel="3" x14ac:dyDescent="0.2">
      <c r="B297" s="13">
        <f t="shared" si="4"/>
        <v>294</v>
      </c>
      <c r="C297" s="14"/>
      <c r="D297" s="15"/>
      <c r="E297" s="14"/>
      <c r="F297" s="15"/>
    </row>
    <row r="298" spans="2:6" ht="30" hidden="1" customHeight="1" outlineLevel="2" collapsed="1" x14ac:dyDescent="0.2">
      <c r="B298" s="11">
        <f t="shared" si="4"/>
        <v>295</v>
      </c>
      <c r="C298" s="12"/>
      <c r="D298" s="97"/>
      <c r="E298" s="12"/>
      <c r="F298" s="97"/>
    </row>
    <row r="299" spans="2:6" ht="30" hidden="1" customHeight="1" outlineLevel="3" x14ac:dyDescent="0.2">
      <c r="B299" s="13">
        <f t="shared" si="4"/>
        <v>296</v>
      </c>
      <c r="C299" s="14"/>
      <c r="D299" s="15"/>
      <c r="E299" s="14"/>
      <c r="F299" s="15"/>
    </row>
    <row r="300" spans="2:6" ht="30" hidden="1" customHeight="1" outlineLevel="3" x14ac:dyDescent="0.2">
      <c r="B300" s="13">
        <f t="shared" si="4"/>
        <v>297</v>
      </c>
      <c r="C300" s="14"/>
      <c r="D300" s="15"/>
      <c r="E300" s="14"/>
      <c r="F300" s="15"/>
    </row>
    <row r="301" spans="2:6" ht="30" hidden="1" customHeight="1" outlineLevel="3" x14ac:dyDescent="0.2">
      <c r="B301" s="13">
        <f t="shared" si="4"/>
        <v>298</v>
      </c>
      <c r="C301" s="14"/>
      <c r="D301" s="15"/>
      <c r="E301" s="14"/>
      <c r="F301" s="15"/>
    </row>
    <row r="302" spans="2:6" ht="30" hidden="1" customHeight="1" outlineLevel="3" x14ac:dyDescent="0.2">
      <c r="B302" s="13">
        <f t="shared" si="4"/>
        <v>299</v>
      </c>
      <c r="C302" s="14"/>
      <c r="D302" s="15"/>
      <c r="E302" s="14"/>
      <c r="F302" s="15"/>
    </row>
    <row r="303" spans="2:6" ht="30" hidden="1" customHeight="1" outlineLevel="3" x14ac:dyDescent="0.2">
      <c r="B303" s="13">
        <f t="shared" si="4"/>
        <v>300</v>
      </c>
      <c r="C303" s="14"/>
      <c r="D303" s="15"/>
      <c r="E303" s="14"/>
      <c r="F303" s="15"/>
    </row>
    <row r="304" spans="2:6" ht="30" hidden="1" customHeight="1" outlineLevel="3" x14ac:dyDescent="0.2">
      <c r="B304" s="13">
        <f t="shared" si="4"/>
        <v>301</v>
      </c>
      <c r="C304" s="14"/>
      <c r="D304" s="15"/>
      <c r="E304" s="15"/>
      <c r="F304" s="15"/>
    </row>
    <row r="305" spans="2:6" ht="30" hidden="1" customHeight="1" outlineLevel="3" x14ac:dyDescent="0.2">
      <c r="B305" s="13">
        <f t="shared" si="4"/>
        <v>302</v>
      </c>
      <c r="C305" s="14"/>
      <c r="D305" s="15"/>
      <c r="E305" s="14"/>
      <c r="F305" s="15"/>
    </row>
    <row r="306" spans="2:6" ht="30" hidden="1" customHeight="1" outlineLevel="3" x14ac:dyDescent="0.2">
      <c r="B306" s="13">
        <f t="shared" si="4"/>
        <v>303</v>
      </c>
      <c r="C306" s="14"/>
      <c r="D306" s="15"/>
      <c r="E306" s="14"/>
      <c r="F306" s="15"/>
    </row>
    <row r="307" spans="2:6" ht="30" hidden="1" customHeight="1" outlineLevel="3" x14ac:dyDescent="0.2">
      <c r="B307" s="13">
        <f t="shared" si="4"/>
        <v>304</v>
      </c>
      <c r="C307" s="14"/>
      <c r="D307" s="15"/>
      <c r="E307" s="14"/>
      <c r="F307" s="15"/>
    </row>
    <row r="308" spans="2:6" ht="30" hidden="1" customHeight="1" outlineLevel="3" x14ac:dyDescent="0.2">
      <c r="B308" s="13">
        <f t="shared" si="4"/>
        <v>305</v>
      </c>
      <c r="C308" s="14"/>
      <c r="D308" s="15"/>
      <c r="E308" s="42"/>
      <c r="F308" s="42"/>
    </row>
    <row r="309" spans="2:6" ht="30" hidden="1" customHeight="1" outlineLevel="3" x14ac:dyDescent="0.2">
      <c r="B309" s="13">
        <f t="shared" si="4"/>
        <v>306</v>
      </c>
      <c r="C309" s="14"/>
      <c r="D309" s="15"/>
      <c r="E309" s="42"/>
      <c r="F309" s="42"/>
    </row>
    <row r="310" spans="2:6" ht="30" hidden="1" customHeight="1" outlineLevel="2" collapsed="1" x14ac:dyDescent="0.2">
      <c r="B310" s="11">
        <f t="shared" si="4"/>
        <v>307</v>
      </c>
      <c r="C310" s="12"/>
      <c r="D310" s="97"/>
      <c r="E310" s="12"/>
      <c r="F310" s="97"/>
    </row>
    <row r="311" spans="2:6" ht="30" hidden="1" customHeight="1" outlineLevel="3" x14ac:dyDescent="0.2">
      <c r="B311" s="13">
        <f t="shared" si="4"/>
        <v>308</v>
      </c>
      <c r="C311" s="14"/>
      <c r="D311" s="15"/>
      <c r="E311" s="14"/>
      <c r="F311" s="15"/>
    </row>
    <row r="312" spans="2:6" ht="30" hidden="1" customHeight="1" outlineLevel="3" x14ac:dyDescent="0.2">
      <c r="B312" s="13">
        <f t="shared" si="4"/>
        <v>309</v>
      </c>
      <c r="C312" s="14"/>
      <c r="D312" s="15"/>
      <c r="E312" s="15"/>
      <c r="F312" s="15"/>
    </row>
    <row r="313" spans="2:6" ht="30" hidden="1" customHeight="1" outlineLevel="3" x14ac:dyDescent="0.2">
      <c r="B313" s="13">
        <f t="shared" si="4"/>
        <v>310</v>
      </c>
      <c r="C313" s="14"/>
      <c r="D313" s="15"/>
      <c r="E313" s="14"/>
      <c r="F313" s="15"/>
    </row>
    <row r="314" spans="2:6" ht="30" hidden="1" customHeight="1" outlineLevel="3" x14ac:dyDescent="0.2">
      <c r="B314" s="13">
        <f t="shared" si="4"/>
        <v>311</v>
      </c>
      <c r="C314" s="14"/>
      <c r="D314" s="15"/>
      <c r="E314" s="15"/>
      <c r="F314" s="15"/>
    </row>
    <row r="315" spans="2:6" ht="30" hidden="1" customHeight="1" outlineLevel="3" x14ac:dyDescent="0.2">
      <c r="B315" s="13">
        <f t="shared" si="4"/>
        <v>312</v>
      </c>
      <c r="C315" s="14"/>
      <c r="D315" s="15"/>
      <c r="E315" s="14"/>
      <c r="F315" s="15"/>
    </row>
    <row r="316" spans="2:6" ht="30" hidden="1" customHeight="1" outlineLevel="3" x14ac:dyDescent="0.2">
      <c r="B316" s="13">
        <f t="shared" si="4"/>
        <v>313</v>
      </c>
      <c r="C316" s="14"/>
      <c r="D316" s="15"/>
      <c r="E316" s="39"/>
      <c r="F316" s="42"/>
    </row>
    <row r="317" spans="2:6" ht="30" hidden="1" customHeight="1" outlineLevel="3" x14ac:dyDescent="0.2">
      <c r="B317" s="13">
        <f t="shared" si="4"/>
        <v>314</v>
      </c>
      <c r="C317" s="14"/>
      <c r="D317" s="15"/>
      <c r="E317" s="40"/>
      <c r="F317" s="106"/>
    </row>
    <row r="318" spans="2:6" ht="30" hidden="1" customHeight="1" outlineLevel="3" x14ac:dyDescent="0.2">
      <c r="B318" s="13">
        <f t="shared" si="4"/>
        <v>315</v>
      </c>
      <c r="C318" s="14"/>
      <c r="D318" s="15"/>
      <c r="E318" s="40"/>
      <c r="F318" s="106"/>
    </row>
    <row r="319" spans="2:6" ht="30" hidden="1" customHeight="1" outlineLevel="3" x14ac:dyDescent="0.2">
      <c r="B319" s="13">
        <f t="shared" si="4"/>
        <v>316</v>
      </c>
      <c r="C319" s="14"/>
      <c r="D319" s="15"/>
      <c r="E319" s="40"/>
      <c r="F319" s="106"/>
    </row>
    <row r="320" spans="2:6" ht="30" hidden="1" customHeight="1" outlineLevel="3" x14ac:dyDescent="0.2">
      <c r="B320" s="13">
        <f t="shared" si="4"/>
        <v>317</v>
      </c>
      <c r="C320" s="14"/>
      <c r="D320" s="15"/>
      <c r="E320" s="40"/>
      <c r="F320" s="106"/>
    </row>
    <row r="321" spans="2:8" ht="30" hidden="1" customHeight="1" outlineLevel="3" x14ac:dyDescent="0.2">
      <c r="B321" s="13">
        <f t="shared" si="4"/>
        <v>318</v>
      </c>
      <c r="C321" s="14"/>
      <c r="D321" s="15"/>
      <c r="E321" s="39"/>
      <c r="F321" s="42"/>
    </row>
    <row r="322" spans="2:8" ht="30" hidden="1" customHeight="1" outlineLevel="3" x14ac:dyDescent="0.2">
      <c r="B322" s="13">
        <f t="shared" si="4"/>
        <v>319</v>
      </c>
      <c r="C322" s="14"/>
      <c r="D322" s="15"/>
      <c r="E322" s="39"/>
      <c r="F322" s="42"/>
    </row>
    <row r="323" spans="2:8" ht="30" customHeight="1" collapsed="1" x14ac:dyDescent="0.2">
      <c r="B323" s="7">
        <f>B322+1</f>
        <v>320</v>
      </c>
      <c r="C323" s="8" t="s">
        <v>641</v>
      </c>
      <c r="D323" s="96" t="s">
        <v>930</v>
      </c>
      <c r="E323" s="22" t="s">
        <v>642</v>
      </c>
      <c r="F323" s="102" t="s">
        <v>930</v>
      </c>
      <c r="G323" s="4" t="s">
        <v>1066</v>
      </c>
      <c r="H323" s="4" t="s">
        <v>931</v>
      </c>
    </row>
    <row r="324" spans="2:8" ht="30" hidden="1" customHeight="1" outlineLevel="1" collapsed="1" x14ac:dyDescent="0.2">
      <c r="B324" s="9">
        <f t="shared" si="4"/>
        <v>321</v>
      </c>
      <c r="C324" s="10" t="s">
        <v>643</v>
      </c>
      <c r="D324" s="67" t="s">
        <v>1066</v>
      </c>
      <c r="E324" s="10" t="s">
        <v>644</v>
      </c>
      <c r="F324" s="67" t="s">
        <v>930</v>
      </c>
    </row>
    <row r="325" spans="2:8" ht="30" hidden="1" customHeight="1" outlineLevel="2" x14ac:dyDescent="0.2">
      <c r="B325" s="11">
        <f t="shared" si="4"/>
        <v>322</v>
      </c>
      <c r="C325" s="12"/>
      <c r="D325" s="97"/>
      <c r="E325" s="23"/>
      <c r="F325" s="103"/>
    </row>
    <row r="326" spans="2:8" ht="30" hidden="1" customHeight="1" outlineLevel="2" x14ac:dyDescent="0.2">
      <c r="B326" s="11">
        <f t="shared" ref="B326:B389" si="5">B325+1</f>
        <v>323</v>
      </c>
      <c r="C326" s="12"/>
      <c r="D326" s="97"/>
      <c r="E326" s="12"/>
      <c r="F326" s="97"/>
    </row>
    <row r="327" spans="2:8" ht="30" hidden="1" customHeight="1" outlineLevel="2" x14ac:dyDescent="0.2">
      <c r="B327" s="11">
        <f t="shared" si="5"/>
        <v>324</v>
      </c>
      <c r="C327" s="12"/>
      <c r="D327" s="97"/>
      <c r="E327" s="12"/>
      <c r="F327" s="97"/>
    </row>
    <row r="328" spans="2:8" ht="30" hidden="1" customHeight="1" outlineLevel="2" x14ac:dyDescent="0.2">
      <c r="B328" s="11">
        <f t="shared" si="5"/>
        <v>325</v>
      </c>
      <c r="C328" s="12"/>
      <c r="D328" s="97"/>
      <c r="E328" s="12"/>
      <c r="F328" s="97"/>
    </row>
    <row r="329" spans="2:8" ht="30" hidden="1" customHeight="1" outlineLevel="3" x14ac:dyDescent="0.2">
      <c r="B329" s="13">
        <f t="shared" si="5"/>
        <v>326</v>
      </c>
      <c r="C329" s="14"/>
      <c r="D329" s="15"/>
      <c r="E329" s="14"/>
      <c r="F329" s="15"/>
    </row>
    <row r="330" spans="2:8" ht="30" hidden="1" customHeight="1" outlineLevel="3" x14ac:dyDescent="0.2">
      <c r="B330" s="13">
        <f t="shared" si="5"/>
        <v>327</v>
      </c>
      <c r="C330" s="14"/>
      <c r="D330" s="15"/>
      <c r="E330" s="14"/>
      <c r="F330" s="15"/>
    </row>
    <row r="331" spans="2:8" ht="30" hidden="1" customHeight="1" outlineLevel="3" x14ac:dyDescent="0.2">
      <c r="B331" s="13">
        <f t="shared" si="5"/>
        <v>328</v>
      </c>
      <c r="C331" s="14"/>
      <c r="D331" s="15"/>
      <c r="E331" s="14"/>
      <c r="F331" s="15"/>
    </row>
    <row r="332" spans="2:8" ht="30" hidden="1" customHeight="1" outlineLevel="1" collapsed="1" x14ac:dyDescent="0.2">
      <c r="B332" s="9">
        <f t="shared" si="5"/>
        <v>329</v>
      </c>
      <c r="C332" s="10" t="s">
        <v>659</v>
      </c>
      <c r="D332" s="67" t="s">
        <v>931</v>
      </c>
      <c r="E332" s="10" t="s">
        <v>660</v>
      </c>
      <c r="F332" s="67" t="s">
        <v>930</v>
      </c>
    </row>
    <row r="333" spans="2:8" ht="30" hidden="1" customHeight="1" outlineLevel="2" x14ac:dyDescent="0.2">
      <c r="B333" s="11">
        <f t="shared" si="5"/>
        <v>330</v>
      </c>
      <c r="C333" s="12"/>
      <c r="D333" s="97"/>
      <c r="E333" s="23"/>
      <c r="F333" s="103"/>
    </row>
    <row r="334" spans="2:8" ht="30" hidden="1" customHeight="1" outlineLevel="2" x14ac:dyDescent="0.2">
      <c r="B334" s="11">
        <f t="shared" si="5"/>
        <v>331</v>
      </c>
      <c r="C334" s="12"/>
      <c r="D334" s="97"/>
      <c r="E334" s="17"/>
      <c r="F334" s="31"/>
    </row>
    <row r="335" spans="2:8" ht="30" customHeight="1" collapsed="1" x14ac:dyDescent="0.2">
      <c r="B335" s="7">
        <f t="shared" si="5"/>
        <v>332</v>
      </c>
      <c r="C335" s="8" t="s">
        <v>665</v>
      </c>
      <c r="D335" s="96" t="s">
        <v>1073</v>
      </c>
      <c r="E335" s="22" t="s">
        <v>666</v>
      </c>
      <c r="F335" s="102" t="s">
        <v>1073</v>
      </c>
      <c r="G335" s="4" t="s">
        <v>1185</v>
      </c>
      <c r="H335" s="4" t="s">
        <v>1074</v>
      </c>
    </row>
    <row r="336" spans="2:8" ht="30" hidden="1" customHeight="1" outlineLevel="1" x14ac:dyDescent="0.2">
      <c r="B336" s="9">
        <f t="shared" si="5"/>
        <v>333</v>
      </c>
      <c r="C336" s="10" t="s">
        <v>667</v>
      </c>
      <c r="D336" s="67" t="s">
        <v>1185</v>
      </c>
      <c r="E336" s="10" t="s">
        <v>668</v>
      </c>
      <c r="F336" s="67" t="s">
        <v>1073</v>
      </c>
    </row>
    <row r="337" spans="2:11" ht="30" hidden="1" customHeight="1" outlineLevel="2" x14ac:dyDescent="0.2">
      <c r="B337" s="11">
        <f t="shared" si="5"/>
        <v>334</v>
      </c>
      <c r="C337" s="12"/>
      <c r="D337" s="97"/>
      <c r="E337" s="23"/>
      <c r="F337" s="103"/>
    </row>
    <row r="338" spans="2:11" ht="30" hidden="1" customHeight="1" outlineLevel="2" x14ac:dyDescent="0.2">
      <c r="B338" s="11">
        <f t="shared" si="5"/>
        <v>335</v>
      </c>
      <c r="C338" s="12"/>
      <c r="D338" s="97"/>
      <c r="E338" s="12"/>
      <c r="F338" s="97"/>
    </row>
    <row r="339" spans="2:11" ht="30" hidden="1" customHeight="1" outlineLevel="2" x14ac:dyDescent="0.2">
      <c r="B339" s="11">
        <f t="shared" si="5"/>
        <v>336</v>
      </c>
      <c r="C339" s="12"/>
      <c r="D339" s="97"/>
      <c r="E339" s="12"/>
      <c r="F339" s="97"/>
    </row>
    <row r="340" spans="2:11" ht="30" hidden="1" customHeight="1" outlineLevel="2" x14ac:dyDescent="0.2">
      <c r="B340" s="11">
        <f t="shared" si="5"/>
        <v>337</v>
      </c>
      <c r="C340" s="12"/>
      <c r="D340" s="97"/>
      <c r="E340" s="12"/>
      <c r="F340" s="97"/>
    </row>
    <row r="341" spans="2:11" ht="30" hidden="1" customHeight="1" outlineLevel="2" x14ac:dyDescent="0.2">
      <c r="B341" s="11">
        <f t="shared" si="5"/>
        <v>338</v>
      </c>
      <c r="C341" s="12"/>
      <c r="D341" s="97"/>
      <c r="E341" s="12"/>
      <c r="F341" s="97"/>
    </row>
    <row r="342" spans="2:11" ht="30" hidden="1" customHeight="1" outlineLevel="1" collapsed="1" x14ac:dyDescent="0.2">
      <c r="B342" s="9">
        <f t="shared" si="5"/>
        <v>339</v>
      </c>
      <c r="C342" s="10" t="s">
        <v>679</v>
      </c>
      <c r="D342" s="67" t="s">
        <v>1074</v>
      </c>
      <c r="E342" s="10" t="s">
        <v>680</v>
      </c>
      <c r="F342" s="67" t="s">
        <v>1073</v>
      </c>
    </row>
    <row r="343" spans="2:11" ht="30" hidden="1" customHeight="1" outlineLevel="2" x14ac:dyDescent="0.2">
      <c r="B343" s="11">
        <f t="shared" si="5"/>
        <v>340</v>
      </c>
      <c r="C343" s="12"/>
      <c r="D343" s="97"/>
      <c r="E343" s="12"/>
      <c r="F343" s="97"/>
    </row>
    <row r="344" spans="2:11" ht="30" hidden="1" customHeight="1" outlineLevel="3" x14ac:dyDescent="0.2">
      <c r="B344" s="13">
        <f t="shared" si="5"/>
        <v>341</v>
      </c>
      <c r="C344" s="14"/>
      <c r="D344" s="15"/>
      <c r="E344" s="43"/>
      <c r="F344" s="107"/>
    </row>
    <row r="345" spans="2:11" ht="30" hidden="1" customHeight="1" outlineLevel="3" x14ac:dyDescent="0.2">
      <c r="B345" s="13">
        <f t="shared" si="5"/>
        <v>342</v>
      </c>
      <c r="C345" s="14"/>
      <c r="D345" s="15"/>
      <c r="E345" s="43"/>
      <c r="F345" s="107"/>
    </row>
    <row r="346" spans="2:11" ht="30" hidden="1" customHeight="1" outlineLevel="3" x14ac:dyDescent="0.2">
      <c r="B346" s="13">
        <f t="shared" si="5"/>
        <v>343</v>
      </c>
      <c r="C346" s="14"/>
      <c r="D346" s="15"/>
      <c r="E346" s="43"/>
      <c r="F346" s="107"/>
    </row>
    <row r="347" spans="2:11" ht="30" hidden="1" customHeight="1" outlineLevel="3" x14ac:dyDescent="0.2">
      <c r="B347" s="13">
        <f t="shared" si="5"/>
        <v>344</v>
      </c>
      <c r="C347" s="14"/>
      <c r="D347" s="15"/>
      <c r="E347" s="43"/>
      <c r="F347" s="107"/>
    </row>
    <row r="348" spans="2:11" ht="30" hidden="1" customHeight="1" outlineLevel="2" collapsed="1" x14ac:dyDescent="0.2">
      <c r="B348" s="13">
        <f t="shared" si="5"/>
        <v>345</v>
      </c>
      <c r="C348" s="12"/>
      <c r="D348" s="97"/>
      <c r="E348" s="12"/>
      <c r="F348" s="97"/>
    </row>
    <row r="349" spans="2:11" ht="30" customHeight="1" collapsed="1" x14ac:dyDescent="0.2">
      <c r="B349" s="7">
        <f t="shared" si="5"/>
        <v>346</v>
      </c>
      <c r="C349" s="8" t="s">
        <v>693</v>
      </c>
      <c r="D349" s="96" t="s">
        <v>839</v>
      </c>
      <c r="E349" s="8" t="s">
        <v>694</v>
      </c>
      <c r="F349" s="96" t="s">
        <v>839</v>
      </c>
      <c r="G349" s="4" t="s">
        <v>1107</v>
      </c>
      <c r="H349" s="4" t="s">
        <v>1059</v>
      </c>
      <c r="I349" s="4" t="s">
        <v>845</v>
      </c>
      <c r="J349" s="4" t="s">
        <v>945</v>
      </c>
      <c r="K349" s="4" t="s">
        <v>861</v>
      </c>
    </row>
    <row r="350" spans="2:11" ht="30" hidden="1" customHeight="1" outlineLevel="1" x14ac:dyDescent="0.2">
      <c r="B350" s="9">
        <f t="shared" si="5"/>
        <v>347</v>
      </c>
      <c r="C350" s="10" t="s">
        <v>695</v>
      </c>
      <c r="D350" s="67" t="s">
        <v>1107</v>
      </c>
      <c r="E350" s="10" t="s">
        <v>696</v>
      </c>
      <c r="F350" s="67" t="s">
        <v>839</v>
      </c>
    </row>
    <row r="351" spans="2:11" ht="30" hidden="1" customHeight="1" outlineLevel="2" x14ac:dyDescent="0.2">
      <c r="B351" s="11">
        <f t="shared" si="5"/>
        <v>348</v>
      </c>
      <c r="C351" s="12"/>
      <c r="D351" s="97"/>
      <c r="E351" s="12"/>
      <c r="F351" s="97"/>
    </row>
    <row r="352" spans="2:11" ht="30" hidden="1" customHeight="1" outlineLevel="2" x14ac:dyDescent="0.2">
      <c r="B352" s="11">
        <f t="shared" si="5"/>
        <v>349</v>
      </c>
      <c r="C352" s="12"/>
      <c r="D352" s="97"/>
      <c r="E352" s="12"/>
      <c r="F352" s="97"/>
    </row>
    <row r="353" spans="2:6" ht="30" hidden="1" customHeight="1" outlineLevel="2" x14ac:dyDescent="0.2">
      <c r="B353" s="11">
        <f t="shared" si="5"/>
        <v>350</v>
      </c>
      <c r="C353" s="12"/>
      <c r="D353" s="97"/>
      <c r="E353" s="12"/>
      <c r="F353" s="97"/>
    </row>
    <row r="354" spans="2:6" ht="30" hidden="1" customHeight="1" outlineLevel="3" x14ac:dyDescent="0.2">
      <c r="B354" s="24">
        <f t="shared" si="5"/>
        <v>351</v>
      </c>
      <c r="C354" s="25"/>
      <c r="D354" s="44"/>
      <c r="E354" s="44"/>
      <c r="F354" s="44"/>
    </row>
    <row r="355" spans="2:6" ht="30" hidden="1" customHeight="1" outlineLevel="3" x14ac:dyDescent="0.2">
      <c r="B355" s="13">
        <f t="shared" si="5"/>
        <v>352</v>
      </c>
      <c r="C355" s="14"/>
      <c r="D355" s="15"/>
      <c r="E355" s="14"/>
      <c r="F355" s="15"/>
    </row>
    <row r="356" spans="2:6" ht="30" hidden="1" customHeight="1" outlineLevel="3" x14ac:dyDescent="0.2">
      <c r="B356" s="13">
        <f t="shared" si="5"/>
        <v>353</v>
      </c>
      <c r="C356" s="14"/>
      <c r="D356" s="15"/>
      <c r="E356" s="15"/>
      <c r="F356" s="15"/>
    </row>
    <row r="357" spans="2:6" ht="30" hidden="1" customHeight="1" outlineLevel="3" x14ac:dyDescent="0.2">
      <c r="B357" s="13">
        <f t="shared" si="5"/>
        <v>354</v>
      </c>
      <c r="C357" s="14"/>
      <c r="D357" s="15"/>
      <c r="E357" s="15"/>
      <c r="F357" s="15"/>
    </row>
    <row r="358" spans="2:6" ht="30" hidden="1" customHeight="1" outlineLevel="3" x14ac:dyDescent="0.2">
      <c r="B358" s="13">
        <f t="shared" si="5"/>
        <v>355</v>
      </c>
      <c r="C358" s="14"/>
      <c r="D358" s="15"/>
      <c r="E358" s="15"/>
      <c r="F358" s="15"/>
    </row>
    <row r="359" spans="2:6" ht="30" hidden="1" customHeight="1" outlineLevel="3" x14ac:dyDescent="0.2">
      <c r="B359" s="13">
        <f t="shared" si="5"/>
        <v>356</v>
      </c>
      <c r="C359" s="14"/>
      <c r="D359" s="15"/>
      <c r="E359" s="15"/>
      <c r="F359" s="15"/>
    </row>
    <row r="360" spans="2:6" ht="30" hidden="1" customHeight="1" outlineLevel="3" x14ac:dyDescent="0.2">
      <c r="B360" s="13">
        <f t="shared" si="5"/>
        <v>357</v>
      </c>
      <c r="C360" s="14"/>
      <c r="D360" s="15"/>
      <c r="E360" s="15"/>
      <c r="F360" s="15"/>
    </row>
    <row r="361" spans="2:6" ht="30" hidden="1" customHeight="1" outlineLevel="3" x14ac:dyDescent="0.2">
      <c r="B361" s="13">
        <f t="shared" si="5"/>
        <v>358</v>
      </c>
      <c r="C361" s="14"/>
      <c r="D361" s="15"/>
      <c r="E361" s="15"/>
      <c r="F361" s="15"/>
    </row>
    <row r="362" spans="2:6" ht="30" hidden="1" customHeight="1" outlineLevel="2" collapsed="1" x14ac:dyDescent="0.2">
      <c r="B362" s="11">
        <f t="shared" si="5"/>
        <v>359</v>
      </c>
      <c r="C362" s="12"/>
      <c r="D362" s="97"/>
      <c r="E362" s="12"/>
      <c r="F362" s="97"/>
    </row>
    <row r="363" spans="2:6" ht="30" hidden="1" customHeight="1" outlineLevel="1" collapsed="1" x14ac:dyDescent="0.2">
      <c r="B363" s="9">
        <f t="shared" si="5"/>
        <v>360</v>
      </c>
      <c r="C363" s="10" t="s">
        <v>721</v>
      </c>
      <c r="D363" s="67" t="s">
        <v>1059</v>
      </c>
      <c r="E363" s="10" t="s">
        <v>722</v>
      </c>
      <c r="F363" s="67" t="s">
        <v>839</v>
      </c>
    </row>
    <row r="364" spans="2:6" ht="30" hidden="1" customHeight="1" outlineLevel="2" x14ac:dyDescent="0.2">
      <c r="B364" s="11">
        <f t="shared" si="5"/>
        <v>361</v>
      </c>
      <c r="C364" s="12"/>
      <c r="D364" s="97"/>
      <c r="E364" s="12"/>
      <c r="F364" s="97"/>
    </row>
    <row r="365" spans="2:6" ht="30" hidden="1" customHeight="1" outlineLevel="2" x14ac:dyDescent="0.2">
      <c r="B365" s="11">
        <f t="shared" si="5"/>
        <v>362</v>
      </c>
      <c r="C365" s="12"/>
      <c r="D365" s="97"/>
      <c r="E365" s="12"/>
      <c r="F365" s="97"/>
    </row>
    <row r="366" spans="2:6" ht="30" hidden="1" customHeight="1" outlineLevel="2" x14ac:dyDescent="0.2">
      <c r="B366" s="11">
        <f t="shared" si="5"/>
        <v>363</v>
      </c>
      <c r="C366" s="12"/>
      <c r="D366" s="97"/>
      <c r="E366" s="12"/>
      <c r="F366" s="97"/>
    </row>
    <row r="367" spans="2:6" ht="30" hidden="1" customHeight="1" outlineLevel="3" x14ac:dyDescent="0.2">
      <c r="B367" s="13">
        <f t="shared" si="5"/>
        <v>364</v>
      </c>
      <c r="C367" s="14"/>
      <c r="D367" s="15"/>
      <c r="E367" s="14"/>
      <c r="F367" s="15"/>
    </row>
    <row r="368" spans="2:6" ht="30" hidden="1" customHeight="1" outlineLevel="3" x14ac:dyDescent="0.2">
      <c r="B368" s="13">
        <f t="shared" si="5"/>
        <v>365</v>
      </c>
      <c r="C368" s="14"/>
      <c r="D368" s="15"/>
      <c r="E368" s="15"/>
      <c r="F368" s="15"/>
    </row>
    <row r="369" spans="2:6" ht="30" hidden="1" customHeight="1" outlineLevel="3" x14ac:dyDescent="0.2">
      <c r="B369" s="13">
        <f t="shared" si="5"/>
        <v>366</v>
      </c>
      <c r="C369" s="14"/>
      <c r="D369" s="15"/>
      <c r="E369" s="15"/>
      <c r="F369" s="15"/>
    </row>
    <row r="370" spans="2:6" ht="30" hidden="1" customHeight="1" outlineLevel="2" collapsed="1" x14ac:dyDescent="0.2">
      <c r="B370" s="11">
        <f t="shared" si="5"/>
        <v>367</v>
      </c>
      <c r="C370" s="12"/>
      <c r="D370" s="97"/>
      <c r="E370" s="12"/>
      <c r="F370" s="97"/>
    </row>
    <row r="371" spans="2:6" ht="30" hidden="1" customHeight="1" outlineLevel="3" x14ac:dyDescent="0.2">
      <c r="B371" s="13">
        <f t="shared" si="5"/>
        <v>368</v>
      </c>
      <c r="C371" s="14"/>
      <c r="D371" s="15"/>
      <c r="E371" s="45"/>
      <c r="F371" s="45"/>
    </row>
    <row r="372" spans="2:6" ht="30" hidden="1" customHeight="1" outlineLevel="3" x14ac:dyDescent="0.2">
      <c r="B372" s="24">
        <f t="shared" si="5"/>
        <v>369</v>
      </c>
      <c r="C372" s="25"/>
      <c r="D372" s="44"/>
      <c r="E372" s="44"/>
      <c r="F372" s="44"/>
    </row>
    <row r="373" spans="2:6" ht="30" hidden="1" customHeight="1" outlineLevel="3" x14ac:dyDescent="0.2">
      <c r="B373" s="46">
        <f t="shared" si="5"/>
        <v>370</v>
      </c>
      <c r="C373" s="47"/>
      <c r="D373" s="48"/>
      <c r="E373" s="48"/>
      <c r="F373" s="48"/>
    </row>
    <row r="374" spans="2:6" ht="30" hidden="1" customHeight="1" outlineLevel="3" x14ac:dyDescent="0.2">
      <c r="B374" s="13">
        <f t="shared" si="5"/>
        <v>371</v>
      </c>
      <c r="C374" s="14"/>
      <c r="D374" s="15"/>
      <c r="E374" s="15"/>
      <c r="F374" s="15"/>
    </row>
    <row r="375" spans="2:6" ht="30" hidden="1" customHeight="1" outlineLevel="3" x14ac:dyDescent="0.2">
      <c r="B375" s="46">
        <f t="shared" si="5"/>
        <v>372</v>
      </c>
      <c r="C375" s="47"/>
      <c r="D375" s="48"/>
      <c r="E375" s="49"/>
      <c r="F375" s="49"/>
    </row>
    <row r="376" spans="2:6" ht="30" hidden="1" customHeight="1" outlineLevel="2" collapsed="1" x14ac:dyDescent="0.2">
      <c r="B376" s="11">
        <f t="shared" si="5"/>
        <v>373</v>
      </c>
      <c r="C376" s="12"/>
      <c r="D376" s="97"/>
      <c r="E376" s="12"/>
      <c r="F376" s="97"/>
    </row>
    <row r="377" spans="2:6" ht="30" hidden="1" customHeight="1" outlineLevel="3" x14ac:dyDescent="0.2">
      <c r="B377" s="13">
        <f t="shared" si="5"/>
        <v>374</v>
      </c>
      <c r="C377" s="14"/>
      <c r="D377" s="15"/>
      <c r="E377" s="15"/>
      <c r="F377" s="15"/>
    </row>
    <row r="378" spans="2:6" ht="30" hidden="1" customHeight="1" outlineLevel="3" x14ac:dyDescent="0.2">
      <c r="B378" s="13">
        <f t="shared" si="5"/>
        <v>375</v>
      </c>
      <c r="C378" s="14"/>
      <c r="D378" s="15"/>
      <c r="E378" s="15"/>
      <c r="F378" s="15"/>
    </row>
    <row r="379" spans="2:6" ht="30" hidden="1" customHeight="1" outlineLevel="3" x14ac:dyDescent="0.2">
      <c r="B379" s="13">
        <f t="shared" si="5"/>
        <v>376</v>
      </c>
      <c r="C379" s="14"/>
      <c r="D379" s="15"/>
      <c r="E379" s="14"/>
      <c r="F379" s="15"/>
    </row>
    <row r="380" spans="2:6" ht="30" hidden="1" customHeight="1" outlineLevel="1" collapsed="1" x14ac:dyDescent="0.2">
      <c r="B380" s="9">
        <f t="shared" si="5"/>
        <v>377</v>
      </c>
      <c r="C380" s="10" t="s">
        <v>754</v>
      </c>
      <c r="D380" s="67" t="s">
        <v>845</v>
      </c>
      <c r="E380" s="10" t="s">
        <v>755</v>
      </c>
      <c r="F380" s="67" t="s">
        <v>839</v>
      </c>
    </row>
    <row r="381" spans="2:6" ht="30" hidden="1" customHeight="1" outlineLevel="2" x14ac:dyDescent="0.2">
      <c r="B381" s="11">
        <f t="shared" si="5"/>
        <v>378</v>
      </c>
      <c r="C381" s="12"/>
      <c r="D381" s="97"/>
      <c r="E381" s="12"/>
      <c r="F381" s="97"/>
    </row>
    <row r="382" spans="2:6" ht="30" hidden="1" customHeight="1" outlineLevel="2" x14ac:dyDescent="0.2">
      <c r="B382" s="11">
        <f t="shared" si="5"/>
        <v>379</v>
      </c>
      <c r="C382" s="12"/>
      <c r="D382" s="97"/>
      <c r="E382" s="12"/>
      <c r="F382" s="97"/>
    </row>
    <row r="383" spans="2:6" ht="30" hidden="1" customHeight="1" outlineLevel="3" x14ac:dyDescent="0.2">
      <c r="B383" s="13">
        <f t="shared" si="5"/>
        <v>380</v>
      </c>
      <c r="C383" s="14"/>
      <c r="D383" s="15"/>
      <c r="E383" s="15"/>
      <c r="F383" s="15"/>
    </row>
    <row r="384" spans="2:6" ht="30" hidden="1" customHeight="1" outlineLevel="3" x14ac:dyDescent="0.2">
      <c r="B384" s="13">
        <f t="shared" si="5"/>
        <v>381</v>
      </c>
      <c r="C384" s="14"/>
      <c r="D384" s="15"/>
      <c r="E384" s="15"/>
      <c r="F384" s="15"/>
    </row>
    <row r="385" spans="2:6" ht="30" hidden="1" customHeight="1" outlineLevel="3" x14ac:dyDescent="0.2">
      <c r="B385" s="13">
        <f t="shared" si="5"/>
        <v>382</v>
      </c>
      <c r="C385" s="14"/>
      <c r="D385" s="15"/>
      <c r="E385" s="15"/>
      <c r="F385" s="15"/>
    </row>
    <row r="386" spans="2:6" ht="30" hidden="1" customHeight="1" outlineLevel="3" x14ac:dyDescent="0.2">
      <c r="B386" s="13">
        <f t="shared" si="5"/>
        <v>383</v>
      </c>
      <c r="C386" s="14"/>
      <c r="D386" s="15"/>
      <c r="E386" s="15"/>
      <c r="F386" s="15"/>
    </row>
    <row r="387" spans="2:6" ht="30" hidden="1" customHeight="1" outlineLevel="3" x14ac:dyDescent="0.2">
      <c r="B387" s="13">
        <f t="shared" si="5"/>
        <v>384</v>
      </c>
      <c r="C387" s="14"/>
      <c r="D387" s="15"/>
      <c r="E387" s="15"/>
      <c r="F387" s="15"/>
    </row>
    <row r="388" spans="2:6" ht="30" hidden="1" customHeight="1" outlineLevel="2" collapsed="1" x14ac:dyDescent="0.2">
      <c r="B388" s="11">
        <f t="shared" si="5"/>
        <v>385</v>
      </c>
      <c r="C388" s="12"/>
      <c r="D388" s="97"/>
      <c r="E388" s="12"/>
      <c r="F388" s="97"/>
    </row>
    <row r="389" spans="2:6" ht="30" hidden="1" customHeight="1" outlineLevel="2" x14ac:dyDescent="0.2">
      <c r="B389" s="11">
        <f t="shared" si="5"/>
        <v>386</v>
      </c>
      <c r="C389" s="12"/>
      <c r="D389" s="97"/>
      <c r="E389" s="12"/>
      <c r="F389" s="97"/>
    </row>
    <row r="390" spans="2:6" ht="30" hidden="1" customHeight="1" outlineLevel="2" x14ac:dyDescent="0.2">
      <c r="B390" s="11">
        <f t="shared" ref="B390:B404" si="6">B389+1</f>
        <v>387</v>
      </c>
      <c r="C390" s="12"/>
      <c r="D390" s="97"/>
      <c r="E390" s="12"/>
      <c r="F390" s="97"/>
    </row>
    <row r="391" spans="2:6" ht="30" hidden="1" customHeight="1" outlineLevel="2" x14ac:dyDescent="0.2">
      <c r="B391" s="11">
        <f t="shared" si="6"/>
        <v>388</v>
      </c>
      <c r="C391" s="12"/>
      <c r="D391" s="97"/>
      <c r="E391" s="12"/>
      <c r="F391" s="97"/>
    </row>
    <row r="392" spans="2:6" ht="30" hidden="1" customHeight="1" outlineLevel="2" x14ac:dyDescent="0.2">
      <c r="B392" s="11">
        <f t="shared" si="6"/>
        <v>389</v>
      </c>
      <c r="C392" s="12"/>
      <c r="D392" s="97"/>
      <c r="E392" s="12"/>
      <c r="F392" s="97"/>
    </row>
    <row r="393" spans="2:6" ht="30" hidden="1" customHeight="1" outlineLevel="1" collapsed="1" x14ac:dyDescent="0.2">
      <c r="B393" s="9">
        <f t="shared" si="6"/>
        <v>390</v>
      </c>
      <c r="C393" s="10" t="s">
        <v>780</v>
      </c>
      <c r="D393" s="67" t="s">
        <v>945</v>
      </c>
      <c r="E393" s="10" t="s">
        <v>781</v>
      </c>
      <c r="F393" s="67" t="s">
        <v>839</v>
      </c>
    </row>
    <row r="394" spans="2:6" ht="30" hidden="1" customHeight="1" outlineLevel="2" x14ac:dyDescent="0.2">
      <c r="B394" s="11">
        <f t="shared" si="6"/>
        <v>391</v>
      </c>
      <c r="C394" s="12"/>
      <c r="D394" s="97"/>
      <c r="E394" s="12"/>
      <c r="F394" s="97"/>
    </row>
    <row r="395" spans="2:6" ht="30" hidden="1" customHeight="1" outlineLevel="2" x14ac:dyDescent="0.2">
      <c r="B395" s="11">
        <f t="shared" si="6"/>
        <v>392</v>
      </c>
      <c r="C395" s="12"/>
      <c r="D395" s="97"/>
      <c r="E395" s="12"/>
      <c r="F395" s="97"/>
    </row>
    <row r="396" spans="2:6" ht="30" hidden="1" customHeight="1" outlineLevel="2" x14ac:dyDescent="0.2">
      <c r="B396" s="11">
        <f t="shared" si="6"/>
        <v>393</v>
      </c>
      <c r="C396" s="12"/>
      <c r="D396" s="97"/>
      <c r="E396" s="12"/>
      <c r="F396" s="97"/>
    </row>
    <row r="397" spans="2:6" ht="30" hidden="1" customHeight="1" outlineLevel="2" x14ac:dyDescent="0.2">
      <c r="B397" s="11">
        <f t="shared" si="6"/>
        <v>394</v>
      </c>
      <c r="C397" s="12"/>
      <c r="D397" s="97"/>
      <c r="E397" s="12"/>
      <c r="F397" s="97"/>
    </row>
    <row r="398" spans="2:6" ht="30" hidden="1" customHeight="1" outlineLevel="1" collapsed="1" x14ac:dyDescent="0.2">
      <c r="B398" s="9">
        <f t="shared" si="6"/>
        <v>395</v>
      </c>
      <c r="C398" s="10" t="s">
        <v>790</v>
      </c>
      <c r="D398" s="67" t="s">
        <v>861</v>
      </c>
      <c r="E398" s="10" t="s">
        <v>791</v>
      </c>
      <c r="F398" s="67" t="s">
        <v>839</v>
      </c>
    </row>
    <row r="399" spans="2:6" ht="30" hidden="1" customHeight="1" outlineLevel="2" x14ac:dyDescent="0.2">
      <c r="B399" s="11">
        <f t="shared" si="6"/>
        <v>396</v>
      </c>
      <c r="C399" s="12"/>
      <c r="D399" s="97"/>
      <c r="E399" s="12"/>
      <c r="F399" s="97"/>
    </row>
    <row r="400" spans="2:6" ht="30" hidden="1" customHeight="1" outlineLevel="3" x14ac:dyDescent="0.2">
      <c r="B400" s="13">
        <f t="shared" si="6"/>
        <v>397</v>
      </c>
      <c r="C400" s="14"/>
      <c r="D400" s="15"/>
      <c r="E400" s="15"/>
      <c r="F400" s="15"/>
    </row>
    <row r="401" spans="2:9" ht="30" hidden="1" customHeight="1" outlineLevel="3" x14ac:dyDescent="0.2">
      <c r="B401" s="13">
        <f t="shared" si="6"/>
        <v>398</v>
      </c>
      <c r="C401" s="14"/>
      <c r="D401" s="15"/>
      <c r="E401" s="15"/>
      <c r="F401" s="15"/>
    </row>
    <row r="402" spans="2:9" ht="30" hidden="1" customHeight="1" outlineLevel="2" collapsed="1" x14ac:dyDescent="0.2">
      <c r="B402" s="11">
        <f t="shared" si="6"/>
        <v>399</v>
      </c>
      <c r="C402" s="12"/>
      <c r="D402" s="97"/>
      <c r="E402" s="12"/>
      <c r="F402" s="97"/>
    </row>
    <row r="403" spans="2:9" ht="30" hidden="1" customHeight="1" outlineLevel="3" x14ac:dyDescent="0.2">
      <c r="B403" s="13">
        <f t="shared" si="6"/>
        <v>400</v>
      </c>
      <c r="C403" s="14"/>
      <c r="D403" s="15"/>
      <c r="E403" s="15"/>
      <c r="F403" s="15"/>
    </row>
    <row r="404" spans="2:9" ht="30" hidden="1" customHeight="1" outlineLevel="3" x14ac:dyDescent="0.2">
      <c r="B404" s="13">
        <f t="shared" si="6"/>
        <v>401</v>
      </c>
      <c r="C404" s="14"/>
      <c r="D404" s="15"/>
      <c r="E404" s="15"/>
      <c r="F404" s="15"/>
    </row>
    <row r="405" spans="2:9" ht="30" customHeight="1" collapsed="1" x14ac:dyDescent="0.2">
      <c r="B405" s="7">
        <v>399</v>
      </c>
      <c r="C405" s="8" t="s">
        <v>804</v>
      </c>
      <c r="D405" s="96" t="s">
        <v>835</v>
      </c>
      <c r="E405" s="22" t="s">
        <v>805</v>
      </c>
      <c r="F405" s="102" t="s">
        <v>835</v>
      </c>
      <c r="G405" s="4" t="s">
        <v>836</v>
      </c>
      <c r="H405" s="4" t="s">
        <v>837</v>
      </c>
      <c r="I405" s="4" t="s">
        <v>838</v>
      </c>
    </row>
    <row r="406" spans="2:9" ht="30" hidden="1" customHeight="1" outlineLevel="1" x14ac:dyDescent="0.2">
      <c r="B406" s="9">
        <v>400</v>
      </c>
      <c r="C406" s="10" t="s">
        <v>806</v>
      </c>
      <c r="D406" s="67" t="s">
        <v>836</v>
      </c>
      <c r="E406" s="10" t="s">
        <v>807</v>
      </c>
      <c r="F406" s="67" t="s">
        <v>835</v>
      </c>
    </row>
    <row r="407" spans="2:9" ht="30" hidden="1" customHeight="1" outlineLevel="1" x14ac:dyDescent="0.2">
      <c r="B407" s="9">
        <v>401</v>
      </c>
      <c r="C407" s="10" t="s">
        <v>808</v>
      </c>
      <c r="D407" s="67" t="s">
        <v>837</v>
      </c>
      <c r="E407" s="10" t="s">
        <v>809</v>
      </c>
      <c r="F407" s="67" t="s">
        <v>835</v>
      </c>
    </row>
    <row r="408" spans="2:9" ht="30" hidden="1" customHeight="1" outlineLevel="1" x14ac:dyDescent="0.2">
      <c r="B408" s="9">
        <v>402</v>
      </c>
      <c r="C408" s="10" t="s">
        <v>810</v>
      </c>
      <c r="D408" s="67" t="s">
        <v>838</v>
      </c>
      <c r="E408" s="10" t="s">
        <v>811</v>
      </c>
      <c r="F408" s="67" t="s">
        <v>835</v>
      </c>
    </row>
    <row r="409" spans="2:9" collapsed="1" x14ac:dyDescent="0.2"/>
    <row r="411" spans="2:9" x14ac:dyDescent="0.2">
      <c r="G411" s="4" t="str">
        <f>_xlfn.XLOOKUP(H411,Xlookup_back!C3:C28,Xlookup_back!B3:B28)</f>
        <v>A. Substructure - Bygningsbasis</v>
      </c>
      <c r="H411" s="4" t="s">
        <v>867</v>
      </c>
    </row>
    <row r="416" spans="2:9" x14ac:dyDescent="0.2">
      <c r="G416" s="4" t="s">
        <v>852</v>
      </c>
    </row>
    <row r="417" spans="7:7" x14ac:dyDescent="0.2">
      <c r="G417" s="4" t="s">
        <v>867</v>
      </c>
    </row>
    <row r="418" spans="7:7" x14ac:dyDescent="0.2">
      <c r="G418" s="4" t="s">
        <v>874</v>
      </c>
    </row>
    <row r="419" spans="7:7" x14ac:dyDescent="0.2">
      <c r="G419" s="4" t="s">
        <v>881</v>
      </c>
    </row>
    <row r="420" spans="7:7" x14ac:dyDescent="0.2">
      <c r="G420" s="4" t="s">
        <v>908</v>
      </c>
    </row>
    <row r="421" spans="7:7" x14ac:dyDescent="0.2">
      <c r="G421" s="4" t="s">
        <v>871</v>
      </c>
    </row>
    <row r="422" spans="7:7" x14ac:dyDescent="0.2">
      <c r="G422" s="4" t="s">
        <v>912</v>
      </c>
    </row>
    <row r="423" spans="7:7" x14ac:dyDescent="0.2">
      <c r="G423" s="4" t="s">
        <v>886</v>
      </c>
    </row>
    <row r="424" spans="7:7" x14ac:dyDescent="0.2">
      <c r="G424" s="4" t="s">
        <v>923</v>
      </c>
    </row>
    <row r="425" spans="7:7" x14ac:dyDescent="0.2">
      <c r="G425" s="4" t="s">
        <v>977</v>
      </c>
    </row>
    <row r="426" spans="7:7" x14ac:dyDescent="0.2">
      <c r="G426" s="4" t="s">
        <v>997</v>
      </c>
    </row>
    <row r="427" spans="7:7" x14ac:dyDescent="0.2">
      <c r="G427" s="4" t="s">
        <v>983</v>
      </c>
    </row>
    <row r="428" spans="7:7" x14ac:dyDescent="0.2">
      <c r="G428" s="4" t="s">
        <v>1023</v>
      </c>
    </row>
    <row r="429" spans="7:7" x14ac:dyDescent="0.2">
      <c r="G429" s="4" t="s">
        <v>949</v>
      </c>
    </row>
    <row r="430" spans="7:7" x14ac:dyDescent="0.2">
      <c r="G430" s="4" t="s">
        <v>1066</v>
      </c>
    </row>
    <row r="431" spans="7:7" x14ac:dyDescent="0.2">
      <c r="G431" s="4" t="s">
        <v>931</v>
      </c>
    </row>
    <row r="432" spans="7:7" x14ac:dyDescent="0.2">
      <c r="G432" s="4" t="s">
        <v>1185</v>
      </c>
    </row>
    <row r="433" spans="7:7" x14ac:dyDescent="0.2">
      <c r="G433" s="4" t="s">
        <v>1074</v>
      </c>
    </row>
    <row r="434" spans="7:7" x14ac:dyDescent="0.2">
      <c r="G434" s="4" t="s">
        <v>1107</v>
      </c>
    </row>
    <row r="435" spans="7:7" x14ac:dyDescent="0.2">
      <c r="G435" s="4" t="s">
        <v>1059</v>
      </c>
    </row>
    <row r="436" spans="7:7" x14ac:dyDescent="0.2">
      <c r="G436" s="4" t="s">
        <v>845</v>
      </c>
    </row>
    <row r="437" spans="7:7" x14ac:dyDescent="0.2">
      <c r="G437" s="4" t="s">
        <v>945</v>
      </c>
    </row>
    <row r="438" spans="7:7" x14ac:dyDescent="0.2">
      <c r="G438" s="4" t="s">
        <v>861</v>
      </c>
    </row>
    <row r="439" spans="7:7" x14ac:dyDescent="0.2">
      <c r="G439" s="4" t="s">
        <v>836</v>
      </c>
    </row>
    <row r="440" spans="7:7" x14ac:dyDescent="0.2">
      <c r="G440" s="4" t="s">
        <v>837</v>
      </c>
    </row>
    <row r="441" spans="7:7" x14ac:dyDescent="0.2">
      <c r="G441" s="4" t="s">
        <v>838</v>
      </c>
    </row>
  </sheetData>
  <autoFilter ref="B3:E402" xr:uid="{00000000-0009-0000-0000-000000000000}"/>
  <pageMargins left="0.7" right="0.7" top="0.75" bottom="0.75" header="0.3" footer="0.3"/>
  <pageSetup paperSize="9"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C6022C4E-5953-4670-A88D-F9F46F9E8724}">
          <xm:f>Niveau_2!$G$4:$Q$405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1323-CE6A-440E-BB36-7C530A3FC301}">
  <dimension ref="A1:G90"/>
  <sheetViews>
    <sheetView workbookViewId="0">
      <selection activeCell="F13" sqref="F13"/>
    </sheetView>
  </sheetViews>
  <sheetFormatPr defaultRowHeight="15" x14ac:dyDescent="0.25"/>
  <cols>
    <col min="1" max="1" width="33.7109375" customWidth="1"/>
    <col min="2" max="2" width="41.28515625" customWidth="1"/>
    <col min="3" max="3" width="69.5703125" bestFit="1" customWidth="1"/>
    <col min="4" max="4" width="69.5703125" customWidth="1"/>
    <col min="5" max="5" width="40.5703125" customWidth="1"/>
    <col min="6" max="11" width="16.28515625" customWidth="1"/>
    <col min="15" max="15" width="12.85546875" bestFit="1" customWidth="1"/>
  </cols>
  <sheetData>
    <row r="1" spans="1:7" ht="15.75" thickBot="1" x14ac:dyDescent="0.3">
      <c r="A1" t="s">
        <v>1362</v>
      </c>
    </row>
    <row r="2" spans="1:7" x14ac:dyDescent="0.25">
      <c r="A2" s="182" t="s">
        <v>1361</v>
      </c>
      <c r="B2" s="183" t="s">
        <v>1359</v>
      </c>
      <c r="C2" s="183"/>
      <c r="D2" s="183" t="s">
        <v>1360</v>
      </c>
      <c r="E2" s="183"/>
      <c r="F2" s="183"/>
      <c r="G2" s="184"/>
    </row>
    <row r="3" spans="1:7" x14ac:dyDescent="0.25">
      <c r="A3" s="185" t="s">
        <v>851</v>
      </c>
      <c r="B3" s="54" t="s">
        <v>851</v>
      </c>
      <c r="C3" s="4" t="s">
        <v>852</v>
      </c>
      <c r="D3" s="4" t="str">
        <f>_xlfn.XLOOKUP(E3,$C$3:$C$28,$B$3:$B$28)</f>
        <v>A. Substructure - Bygningsbasis</v>
      </c>
      <c r="E3" s="4" t="s">
        <v>852</v>
      </c>
      <c r="F3" t="str" cm="1">
        <f t="array" ref="F3:F87">_xlfn.UNIQUE(TRANSPOSE(_xlfn.HSTACK(Niveau_3!G5:K5,Niveau_3!G19:L19,Niveau_3!G34:M34,Niveau_3!G53:K53,Niveau_3!G74:I74,Niveau_3!G77:N77,_xlfn.ANCHORARRAY(Niveau_3!G85),_xlfn.ANCHORARRAY(Niveau_3!G105),_xlfn.ANCHORARRAY(Niveau_3!G115),_xlfn.ANCHORARRAY(Niveau_3!G136),_xlfn.ANCHORARRAY(Niveau_3!G144),_xlfn.ANCHORARRAY(Niveau_3!G161),_xlfn.ANCHORARRAY(Niveau_3!G277),_xlfn.ANCHORARRAY(Niveau_3!G288),_xlfn.ANCHORARRAY(Niveau_3!G324),_xlfn.ANCHORARRAY(Niveau_3!G332),_xlfn.ANCHORARRAY(Niveau_3!G336),_xlfn.ANCHORARRAY(Niveau_3!G342),_xlfn.ANCHORARRAY(Niveau_3!G350),_xlfn.ANCHORARRAY(Niveau_3!G363),_xlfn.ANCHORARRAY(Niveau_3!G380),Niveau_3!G393:K393,Niveau_3!G398:J398)),,TRUE)</f>
        <v>A1010. Standard Foundations - Standard Fundamenter</v>
      </c>
      <c r="G3" s="186"/>
    </row>
    <row r="4" spans="1:7" x14ac:dyDescent="0.25">
      <c r="A4" s="185" t="s">
        <v>870</v>
      </c>
      <c r="B4" s="54" t="s">
        <v>851</v>
      </c>
      <c r="C4" s="4" t="s">
        <v>867</v>
      </c>
      <c r="D4" s="4" t="str">
        <f t="shared" ref="D4:D67" si="0">_xlfn.XLOOKUP(E4,$C$3:$C$28,$B$3:$B$28)</f>
        <v>A. Substructure - Bygningsbasis</v>
      </c>
      <c r="E4" s="4" t="s">
        <v>852</v>
      </c>
      <c r="F4" t="str">
        <v>A1020. Special Foundations - Specielle Fundamenter</v>
      </c>
      <c r="G4" s="186"/>
    </row>
    <row r="5" spans="1:7" x14ac:dyDescent="0.25">
      <c r="A5" s="185" t="s">
        <v>885</v>
      </c>
      <c r="B5" s="54" t="s">
        <v>870</v>
      </c>
      <c r="C5" s="4" t="s">
        <v>874</v>
      </c>
      <c r="D5" s="4" t="str">
        <f t="shared" si="0"/>
        <v>A. Substructure - Bygningsbasis</v>
      </c>
      <c r="E5" s="4" t="s">
        <v>852</v>
      </c>
      <c r="F5" t="str">
        <v>A1030. Slab on grade - Terrændæk</v>
      </c>
      <c r="G5" s="186"/>
    </row>
    <row r="6" spans="1:7" x14ac:dyDescent="0.25">
      <c r="A6" s="185" t="s">
        <v>948</v>
      </c>
      <c r="B6" s="54" t="s">
        <v>870</v>
      </c>
      <c r="C6" s="4" t="s">
        <v>881</v>
      </c>
      <c r="D6" s="4" t="str">
        <f t="shared" si="0"/>
        <v>A. Substructure - Bygningsbasis</v>
      </c>
      <c r="E6" s="4" t="s">
        <v>867</v>
      </c>
      <c r="F6" t="str">
        <v>A2010. Basement Excavation - Jordarbejde</v>
      </c>
      <c r="G6" s="186"/>
    </row>
    <row r="7" spans="1:7" x14ac:dyDescent="0.25">
      <c r="A7" s="185" t="s">
        <v>930</v>
      </c>
      <c r="B7" s="54" t="s">
        <v>870</v>
      </c>
      <c r="C7" s="4" t="s">
        <v>908</v>
      </c>
      <c r="D7" s="4" t="str">
        <f t="shared" si="0"/>
        <v>A. Substructure - Bygningsbasis</v>
      </c>
      <c r="E7" s="4" t="s">
        <v>867</v>
      </c>
      <c r="F7" t="str">
        <v>A2020. Basement Walls - Inder - Yder- vægge kælder</v>
      </c>
      <c r="G7" s="186"/>
    </row>
    <row r="8" spans="1:7" x14ac:dyDescent="0.25">
      <c r="A8" s="185" t="s">
        <v>1073</v>
      </c>
      <c r="B8" s="54" t="s">
        <v>870</v>
      </c>
      <c r="C8" s="4" t="s">
        <v>871</v>
      </c>
      <c r="D8" s="4" t="str">
        <f t="shared" si="0"/>
        <v>B. Shell - Råhus</v>
      </c>
      <c r="E8" s="4" t="s">
        <v>874</v>
      </c>
      <c r="F8" t="str">
        <v>B1010. Floor Construction - Etage dæk konstruktion</v>
      </c>
      <c r="G8" s="186"/>
    </row>
    <row r="9" spans="1:7" x14ac:dyDescent="0.25">
      <c r="A9" s="185" t="s">
        <v>839</v>
      </c>
      <c r="B9" s="54" t="s">
        <v>885</v>
      </c>
      <c r="C9" s="4" t="s">
        <v>912</v>
      </c>
      <c r="D9" s="4" t="str">
        <f t="shared" si="0"/>
        <v>B. Shell - Råhus</v>
      </c>
      <c r="E9" s="4" t="s">
        <v>874</v>
      </c>
      <c r="F9" t="str">
        <v>B1020. Roof Construction - Tag konstruktion</v>
      </c>
      <c r="G9" s="186"/>
    </row>
    <row r="10" spans="1:7" x14ac:dyDescent="0.25">
      <c r="A10" s="185" t="s">
        <v>835</v>
      </c>
      <c r="B10" s="54" t="s">
        <v>885</v>
      </c>
      <c r="C10" s="4" t="s">
        <v>886</v>
      </c>
      <c r="D10" s="4" t="str">
        <f t="shared" si="0"/>
        <v>B. Shell - Råhus</v>
      </c>
      <c r="E10" s="4" t="s">
        <v>881</v>
      </c>
      <c r="F10" t="str">
        <v>B2010. Exterior Walls - Udvendige Vægge</v>
      </c>
      <c r="G10" s="186"/>
    </row>
    <row r="11" spans="1:7" x14ac:dyDescent="0.25">
      <c r="A11" s="185"/>
      <c r="B11" s="54" t="s">
        <v>885</v>
      </c>
      <c r="C11" s="4" t="s">
        <v>923</v>
      </c>
      <c r="D11" s="4" t="str">
        <f t="shared" si="0"/>
        <v>B. Shell - Råhus</v>
      </c>
      <c r="E11" s="4" t="s">
        <v>881</v>
      </c>
      <c r="F11" t="str">
        <v>B2020. Exterior Windows - Udvendige Vindue</v>
      </c>
      <c r="G11" s="186"/>
    </row>
    <row r="12" spans="1:7" x14ac:dyDescent="0.25">
      <c r="A12" s="185"/>
      <c r="B12" s="54" t="s">
        <v>948</v>
      </c>
      <c r="C12" s="4" t="s">
        <v>977</v>
      </c>
      <c r="D12" s="4" t="str">
        <f t="shared" si="0"/>
        <v>B. Shell - Råhus</v>
      </c>
      <c r="E12" s="4" t="s">
        <v>881</v>
      </c>
      <c r="F12" t="str">
        <v>B2030. Exterior Doors - Udvendige Døre</v>
      </c>
      <c r="G12" s="186"/>
    </row>
    <row r="13" spans="1:7" x14ac:dyDescent="0.25">
      <c r="A13" s="185"/>
      <c r="B13" s="54" t="s">
        <v>948</v>
      </c>
      <c r="C13" s="4" t="s">
        <v>997</v>
      </c>
      <c r="D13" s="4" t="str">
        <f t="shared" si="0"/>
        <v>B. Shell - Råhus</v>
      </c>
      <c r="E13" s="4" t="s">
        <v>908</v>
      </c>
      <c r="F13" t="str">
        <v>B3010. Roof Coverings - Tag dækning</v>
      </c>
      <c r="G13" s="186"/>
    </row>
    <row r="14" spans="1:7" x14ac:dyDescent="0.25">
      <c r="A14" s="185"/>
      <c r="B14" s="54" t="s">
        <v>948</v>
      </c>
      <c r="C14" s="4" t="s">
        <v>983</v>
      </c>
      <c r="D14" s="4" t="str">
        <f t="shared" si="0"/>
        <v>B. Shell - Råhus</v>
      </c>
      <c r="E14" s="4" t="s">
        <v>908</v>
      </c>
      <c r="F14" t="str">
        <v>B3020. Roof Openings - Tag åbninger</v>
      </c>
      <c r="G14" s="186"/>
    </row>
    <row r="15" spans="1:7" x14ac:dyDescent="0.25">
      <c r="A15" s="185"/>
      <c r="B15" s="54" t="s">
        <v>948</v>
      </c>
      <c r="C15" s="4" t="s">
        <v>1023</v>
      </c>
      <c r="D15" s="4" t="str">
        <f t="shared" si="0"/>
        <v>B. Shell - Råhus</v>
      </c>
      <c r="E15" s="4" t="s">
        <v>871</v>
      </c>
      <c r="F15" t="str">
        <v>B4010. Elevatorskakte</v>
      </c>
      <c r="G15" s="186"/>
    </row>
    <row r="16" spans="1:7" x14ac:dyDescent="0.25">
      <c r="A16" s="185"/>
      <c r="B16" s="54" t="s">
        <v>948</v>
      </c>
      <c r="C16" s="4" t="s">
        <v>949</v>
      </c>
      <c r="D16" s="4" t="str">
        <f t="shared" si="0"/>
        <v>B. Shell - Råhus</v>
      </c>
      <c r="E16" s="4" t="s">
        <v>871</v>
      </c>
      <c r="F16" t="str">
        <v>B4020. Indervægge, leverance</v>
      </c>
      <c r="G16" s="186"/>
    </row>
    <row r="17" spans="1:7" ht="26.25" x14ac:dyDescent="0.25">
      <c r="A17" s="185"/>
      <c r="B17" s="54" t="s">
        <v>930</v>
      </c>
      <c r="C17" s="4" t="s">
        <v>1066</v>
      </c>
      <c r="D17" s="4" t="str">
        <f t="shared" si="0"/>
        <v>B. Shell - Råhus</v>
      </c>
      <c r="E17" s="4" t="s">
        <v>871</v>
      </c>
      <c r="F17" t="str">
        <v>B4030. Indervægge, montage</v>
      </c>
      <c r="G17" s="186"/>
    </row>
    <row r="18" spans="1:7" ht="26.25" x14ac:dyDescent="0.25">
      <c r="A18" s="185"/>
      <c r="B18" s="54" t="s">
        <v>930</v>
      </c>
      <c r="C18" s="4" t="s">
        <v>931</v>
      </c>
      <c r="D18" s="4" t="str">
        <f t="shared" si="0"/>
        <v>B. Shell - Råhus</v>
      </c>
      <c r="E18" s="4" t="s">
        <v>871</v>
      </c>
      <c r="F18" t="str">
        <v>B4040. Indervægge, insitu</v>
      </c>
      <c r="G18" s="186"/>
    </row>
    <row r="19" spans="1:7" ht="26.25" x14ac:dyDescent="0.25">
      <c r="A19" s="185"/>
      <c r="B19" s="54" t="s">
        <v>1073</v>
      </c>
      <c r="C19" s="4" t="s">
        <v>1185</v>
      </c>
      <c r="D19" s="4" t="str">
        <f t="shared" si="0"/>
        <v>B. Shell - Råhus</v>
      </c>
      <c r="E19" s="4" t="s">
        <v>871</v>
      </c>
      <c r="F19" t="str">
        <v>B4050. Udstøbningsblokke, udsparinger og tilstøbninger</v>
      </c>
      <c r="G19" s="186"/>
    </row>
    <row r="20" spans="1:7" ht="26.25" x14ac:dyDescent="0.25">
      <c r="A20" s="185"/>
      <c r="B20" s="54" t="s">
        <v>1073</v>
      </c>
      <c r="C20" s="4" t="s">
        <v>1074</v>
      </c>
      <c r="D20" s="4" t="str">
        <f t="shared" si="0"/>
        <v>B. Shell - Råhus</v>
      </c>
      <c r="E20" s="4" t="s">
        <v>871</v>
      </c>
      <c r="F20" t="str">
        <v>B4060. Øvrige beton konstruktioner</v>
      </c>
      <c r="G20" s="186"/>
    </row>
    <row r="21" spans="1:7" ht="26.25" x14ac:dyDescent="0.25">
      <c r="A21" s="185"/>
      <c r="B21" s="54" t="s">
        <v>839</v>
      </c>
      <c r="C21" s="4" t="s">
        <v>1107</v>
      </c>
      <c r="D21" s="4" t="str">
        <f t="shared" si="0"/>
        <v>C. Interiors - Komplettering</v>
      </c>
      <c r="E21" s="4" t="s">
        <v>912</v>
      </c>
      <c r="F21" t="str">
        <v>C1010. Partitions - Skillevægge</v>
      </c>
      <c r="G21" s="186"/>
    </row>
    <row r="22" spans="1:7" ht="26.25" x14ac:dyDescent="0.25">
      <c r="A22" s="185"/>
      <c r="B22" s="54" t="s">
        <v>839</v>
      </c>
      <c r="C22" s="4" t="s">
        <v>1059</v>
      </c>
      <c r="D22" s="4" t="str">
        <f t="shared" si="0"/>
        <v>C. Interiors - Komplettering</v>
      </c>
      <c r="E22" s="4" t="s">
        <v>912</v>
      </c>
      <c r="F22" t="str">
        <v>C1020. Interior Doors - Indvendige Døre</v>
      </c>
      <c r="G22" s="186"/>
    </row>
    <row r="23" spans="1:7" ht="26.25" x14ac:dyDescent="0.25">
      <c r="A23" s="185"/>
      <c r="B23" s="54" t="s">
        <v>839</v>
      </c>
      <c r="C23" s="4" t="s">
        <v>845</v>
      </c>
      <c r="D23" s="4" t="str">
        <f t="shared" si="0"/>
        <v>C. Interiors - Komplettering</v>
      </c>
      <c r="E23" s="4" t="s">
        <v>912</v>
      </c>
      <c r="F23" t="str">
        <v>C1030. Specialties / Fittings - Armaturer / Udstyr</v>
      </c>
      <c r="G23" s="186"/>
    </row>
    <row r="24" spans="1:7" ht="26.25" x14ac:dyDescent="0.25">
      <c r="A24" s="185"/>
      <c r="B24" s="54" t="s">
        <v>839</v>
      </c>
      <c r="C24" s="4" t="s">
        <v>945</v>
      </c>
      <c r="D24" s="4" t="str">
        <f t="shared" si="0"/>
        <v>C. Interiors - Komplettering</v>
      </c>
      <c r="E24" s="4" t="s">
        <v>886</v>
      </c>
      <c r="F24" t="str">
        <v>C2010. Stair Construction - Trappe konstruktion</v>
      </c>
      <c r="G24" s="186"/>
    </row>
    <row r="25" spans="1:7" ht="26.25" x14ac:dyDescent="0.25">
      <c r="A25" s="185"/>
      <c r="B25" s="54" t="s">
        <v>839</v>
      </c>
      <c r="C25" s="4" t="s">
        <v>861</v>
      </c>
      <c r="D25" s="4" t="str">
        <f t="shared" si="0"/>
        <v>C. Interiors - Komplettering</v>
      </c>
      <c r="E25" s="4" t="s">
        <v>886</v>
      </c>
      <c r="F25" t="str">
        <v>C2020. Stair Finishes - Trappe overflader</v>
      </c>
      <c r="G25" s="186"/>
    </row>
    <row r="26" spans="1:7" x14ac:dyDescent="0.25">
      <c r="A26" s="185"/>
      <c r="B26" s="54" t="s">
        <v>835</v>
      </c>
      <c r="C26" s="4" t="s">
        <v>836</v>
      </c>
      <c r="D26" s="4" t="str">
        <f t="shared" si="0"/>
        <v>C. Interiors - Komplettering</v>
      </c>
      <c r="E26" s="4" t="s">
        <v>923</v>
      </c>
      <c r="F26" t="str">
        <v>C3010. Wall Finishes - Vægge overflader</v>
      </c>
      <c r="G26" s="186"/>
    </row>
    <row r="27" spans="1:7" x14ac:dyDescent="0.25">
      <c r="A27" s="185"/>
      <c r="B27" s="54" t="s">
        <v>835</v>
      </c>
      <c r="C27" s="4" t="s">
        <v>837</v>
      </c>
      <c r="D27" s="4" t="str">
        <f t="shared" si="0"/>
        <v>C. Interiors - Komplettering</v>
      </c>
      <c r="E27" s="4" t="s">
        <v>923</v>
      </c>
      <c r="F27" t="str">
        <v>C3020. Floor Finishes - Gulve overflader</v>
      </c>
      <c r="G27" s="186"/>
    </row>
    <row r="28" spans="1:7" x14ac:dyDescent="0.25">
      <c r="A28" s="185"/>
      <c r="B28" s="54" t="s">
        <v>835</v>
      </c>
      <c r="C28" s="4" t="s">
        <v>838</v>
      </c>
      <c r="D28" s="4" t="str">
        <f t="shared" si="0"/>
        <v>C. Interiors - Komplettering</v>
      </c>
      <c r="E28" s="4" t="s">
        <v>923</v>
      </c>
      <c r="F28" t="str">
        <v>C3030. Ceiling Finishes - Lofter overflader</v>
      </c>
      <c r="G28" s="186"/>
    </row>
    <row r="29" spans="1:7" x14ac:dyDescent="0.25">
      <c r="A29" s="185"/>
      <c r="D29" s="4" t="str">
        <f t="shared" si="0"/>
        <v>D. Services - Installationer</v>
      </c>
      <c r="E29" s="4" t="s">
        <v>977</v>
      </c>
      <c r="F29" t="str">
        <v>D1010. Elevators &amp; Lifts - Elevatorer</v>
      </c>
      <c r="G29" s="186"/>
    </row>
    <row r="30" spans="1:7" x14ac:dyDescent="0.25">
      <c r="A30" s="185"/>
      <c r="D30" s="4" t="str">
        <f t="shared" si="0"/>
        <v>D. Services - Installationer</v>
      </c>
      <c r="E30" s="4" t="s">
        <v>977</v>
      </c>
      <c r="F30" t="str">
        <v>D1020. Escalators &amp; Moving Walks - Rulletrappe og rullende fortov</v>
      </c>
      <c r="G30" s="186"/>
    </row>
    <row r="31" spans="1:7" x14ac:dyDescent="0.25">
      <c r="A31" s="185"/>
      <c r="D31" s="4" t="str">
        <f t="shared" si="0"/>
        <v>D. Services - Installationer</v>
      </c>
      <c r="E31" s="4" t="s">
        <v>977</v>
      </c>
      <c r="F31" t="str">
        <v>D1030. Other Conveying Systems - Øvrige Transportanlæg Systemer</v>
      </c>
      <c r="G31" s="186"/>
    </row>
    <row r="32" spans="1:7" x14ac:dyDescent="0.25">
      <c r="A32" s="185"/>
      <c r="D32" s="4" t="str">
        <f t="shared" si="0"/>
        <v>D. Services - Installationer</v>
      </c>
      <c r="E32" s="4" t="s">
        <v>997</v>
      </c>
      <c r="F32" t="str">
        <v>D2010. Plumbing Fixtures - Vandinstallation armaturer m.m.</v>
      </c>
      <c r="G32" s="186"/>
    </row>
    <row r="33" spans="1:7" x14ac:dyDescent="0.25">
      <c r="A33" s="185"/>
      <c r="D33" s="4" t="str">
        <f t="shared" si="0"/>
        <v>D. Services - Installationer</v>
      </c>
      <c r="E33" s="4" t="s">
        <v>997</v>
      </c>
      <c r="F33" t="str">
        <v>D2020. Domestic Water Distribution - Brugsvand fordeling</v>
      </c>
      <c r="G33" s="186"/>
    </row>
    <row r="34" spans="1:7" x14ac:dyDescent="0.25">
      <c r="A34" s="185"/>
      <c r="D34" s="4" t="str">
        <f t="shared" si="0"/>
        <v>D. Services - Installationer</v>
      </c>
      <c r="E34" s="4" t="s">
        <v>997</v>
      </c>
      <c r="F34" t="str">
        <v>D2030. Sanitary Waste - Sanitet afløb spildevand</v>
      </c>
      <c r="G34" s="186"/>
    </row>
    <row r="35" spans="1:7" x14ac:dyDescent="0.25">
      <c r="A35" s="185"/>
      <c r="D35" s="4" t="str">
        <f t="shared" si="0"/>
        <v>D. Services - Installationer</v>
      </c>
      <c r="E35" s="4" t="s">
        <v>997</v>
      </c>
      <c r="F35" t="str">
        <v>D2040. Rain Water Drainage - Afvanding regn</v>
      </c>
      <c r="G35" s="186"/>
    </row>
    <row r="36" spans="1:7" x14ac:dyDescent="0.25">
      <c r="A36" s="185"/>
      <c r="D36" s="4" t="str">
        <f t="shared" si="0"/>
        <v>D. Services - Installationer</v>
      </c>
      <c r="E36" s="4" t="s">
        <v>997</v>
      </c>
      <c r="F36" t="str">
        <v>D2050. Special Plumbing Systems - Specielle vandinstallationer</v>
      </c>
      <c r="G36" s="186"/>
    </row>
    <row r="37" spans="1:7" x14ac:dyDescent="0.25">
      <c r="A37" s="185"/>
      <c r="D37" s="4" t="str">
        <f t="shared" si="0"/>
        <v>D. Services - Installationer</v>
      </c>
      <c r="E37" s="4" t="s">
        <v>983</v>
      </c>
      <c r="F37" t="str">
        <v>D3010. Energy Supply - Energi forsyning</v>
      </c>
      <c r="G37" s="186"/>
    </row>
    <row r="38" spans="1:7" x14ac:dyDescent="0.25">
      <c r="A38" s="185"/>
      <c r="D38" s="4" t="str">
        <f t="shared" si="0"/>
        <v>D. Services - Installationer</v>
      </c>
      <c r="E38" s="4" t="s">
        <v>983</v>
      </c>
      <c r="F38" t="str">
        <v>D3020. Heat Generating System - Varmeinstallationer</v>
      </c>
      <c r="G38" s="186"/>
    </row>
    <row r="39" spans="1:7" x14ac:dyDescent="0.25">
      <c r="A39" s="185"/>
      <c r="D39" s="4" t="str">
        <f t="shared" si="0"/>
        <v>D. Services - Installationer</v>
      </c>
      <c r="E39" s="4" t="s">
        <v>983</v>
      </c>
      <c r="F39" t="str">
        <v>D3030. Cooling Generating System - kølesystem</v>
      </c>
      <c r="G39" s="186"/>
    </row>
    <row r="40" spans="1:7" x14ac:dyDescent="0.25">
      <c r="A40" s="185"/>
      <c r="D40" s="4" t="str">
        <f t="shared" si="0"/>
        <v>D. Services - Installationer</v>
      </c>
      <c r="E40" s="4" t="s">
        <v>983</v>
      </c>
      <c r="F40" t="str">
        <v>D3040. Distribution System - Ventilation</v>
      </c>
      <c r="G40" s="186"/>
    </row>
    <row r="41" spans="1:7" x14ac:dyDescent="0.25">
      <c r="A41" s="185"/>
      <c r="D41" s="4" t="str">
        <f t="shared" si="0"/>
        <v>D. Services - Installationer</v>
      </c>
      <c r="E41" s="4" t="s">
        <v>983</v>
      </c>
      <c r="F41" t="str">
        <v>D3050. Terminal &amp; Package Units</v>
      </c>
      <c r="G41" s="186"/>
    </row>
    <row r="42" spans="1:7" x14ac:dyDescent="0.25">
      <c r="A42" s="185"/>
      <c r="D42" s="4" t="str">
        <f t="shared" si="0"/>
        <v>D. Services - Installationer</v>
      </c>
      <c r="E42" s="4" t="s">
        <v>983</v>
      </c>
      <c r="F42" t="str">
        <v>D3060. Controls &amp; Instrumentation - Kontrol &amp; Instrumentation</v>
      </c>
      <c r="G42" s="186"/>
    </row>
    <row r="43" spans="1:7" x14ac:dyDescent="0.25">
      <c r="A43" s="185"/>
      <c r="D43" s="4" t="str">
        <f t="shared" si="0"/>
        <v>D. Services - Installationer</v>
      </c>
      <c r="E43" s="4" t="s">
        <v>983</v>
      </c>
      <c r="F43" t="str">
        <v>D3070. Special HVAC Systems &amp; Equipment - Speciel VVS Systemer &amp; Inventar</v>
      </c>
      <c r="G43" s="186"/>
    </row>
    <row r="44" spans="1:7" x14ac:dyDescent="0.25">
      <c r="A44" s="185"/>
      <c r="D44" s="4" t="str">
        <f t="shared" si="0"/>
        <v>D. Services - Installationer</v>
      </c>
      <c r="E44" s="4" t="s">
        <v>983</v>
      </c>
      <c r="F44" t="str">
        <v>D3080. Systems Testing &amp; Balancing - Systemer test &amp; Afbalancering</v>
      </c>
      <c r="G44" s="186"/>
    </row>
    <row r="45" spans="1:7" x14ac:dyDescent="0.25">
      <c r="A45" s="185"/>
      <c r="D45" s="4" t="str">
        <f t="shared" si="0"/>
        <v>D. Services - Installationer</v>
      </c>
      <c r="E45" s="4" t="s">
        <v>1023</v>
      </c>
      <c r="F45" t="str">
        <v>D4010. Fire Protection Sprinkler Systems - Brand Sprinkling</v>
      </c>
      <c r="G45" s="186"/>
    </row>
    <row r="46" spans="1:7" x14ac:dyDescent="0.25">
      <c r="A46" s="185"/>
      <c r="D46" s="4" t="str">
        <f t="shared" si="0"/>
        <v>D. Services - Installationer</v>
      </c>
      <c r="E46" s="4" t="s">
        <v>1023</v>
      </c>
      <c r="F46" t="str">
        <v>D4020. Stand-Pipe &amp; Hose Systems - Vandtårn &amp; Slange systemer</v>
      </c>
      <c r="G46" s="186"/>
    </row>
    <row r="47" spans="1:7" x14ac:dyDescent="0.25">
      <c r="A47" s="185"/>
      <c r="D47" s="4" t="str">
        <f t="shared" si="0"/>
        <v>D. Services - Installationer</v>
      </c>
      <c r="E47" s="4" t="s">
        <v>1023</v>
      </c>
      <c r="F47" t="str">
        <v>D4030. Fire Protection Specialties - Brand Specialiteter</v>
      </c>
      <c r="G47" s="186"/>
    </row>
    <row r="48" spans="1:7" x14ac:dyDescent="0.25">
      <c r="A48" s="185"/>
      <c r="D48" s="4" t="str">
        <f t="shared" si="0"/>
        <v>D. Services - Installationer</v>
      </c>
      <c r="E48" s="4" t="s">
        <v>1023</v>
      </c>
      <c r="F48" t="str">
        <v>D4040. Other Fire Protection Systems - Øvrige Brand Systemer</v>
      </c>
      <c r="G48" s="186"/>
    </row>
    <row r="49" spans="1:7" x14ac:dyDescent="0.25">
      <c r="A49" s="185"/>
      <c r="D49" s="4" t="str">
        <f t="shared" si="0"/>
        <v>D. Services - Installationer</v>
      </c>
      <c r="E49" s="4" t="s">
        <v>949</v>
      </c>
      <c r="F49" t="str">
        <v>D5010. Electrical Service &amp; Distribution - Elinstallation &amp; Fordeling</v>
      </c>
      <c r="G49" s="186"/>
    </row>
    <row r="50" spans="1:7" x14ac:dyDescent="0.25">
      <c r="A50" s="185"/>
      <c r="D50" s="4" t="str">
        <f t="shared" si="0"/>
        <v>D. Services - Installationer</v>
      </c>
      <c r="E50" s="4" t="s">
        <v>949</v>
      </c>
      <c r="F50" t="str">
        <v>D5020. Lighting &amp; Branch Wiring - Belysning &amp; Ledningsføring</v>
      </c>
      <c r="G50" s="186"/>
    </row>
    <row r="51" spans="1:7" x14ac:dyDescent="0.25">
      <c r="A51" s="185"/>
      <c r="D51" s="4" t="str">
        <f t="shared" si="0"/>
        <v>D. Services - Installationer</v>
      </c>
      <c r="E51" s="4" t="s">
        <v>949</v>
      </c>
      <c r="F51" t="str">
        <v>D5030. Communication &amp; Security Systems - Kommunikations- &amp; Sikringsanlæg</v>
      </c>
      <c r="G51" s="186"/>
    </row>
    <row r="52" spans="1:7" x14ac:dyDescent="0.25">
      <c r="A52" s="185"/>
      <c r="D52" s="4" t="str">
        <f t="shared" si="0"/>
        <v>D. Services - Installationer</v>
      </c>
      <c r="E52" s="4" t="s">
        <v>949</v>
      </c>
      <c r="F52" t="str">
        <v>D5040. Special Electrical Systems - Specielle El Systemer</v>
      </c>
      <c r="G52" s="186"/>
    </row>
    <row r="53" spans="1:7" x14ac:dyDescent="0.25">
      <c r="A53" s="185"/>
      <c r="D53" s="4" t="str">
        <f t="shared" si="0"/>
        <v>E. Equipment &amp; Furnishings - Inventar &amp; Møbler</v>
      </c>
      <c r="E53" s="4" t="s">
        <v>1066</v>
      </c>
      <c r="F53" t="str">
        <v>E1010. Commercial Equipment - Forretnings inventar</v>
      </c>
      <c r="G53" s="186"/>
    </row>
    <row r="54" spans="1:7" x14ac:dyDescent="0.25">
      <c r="A54" s="185"/>
      <c r="D54" s="4" t="str">
        <f t="shared" si="0"/>
        <v>E. Equipment &amp; Furnishings - Inventar &amp; Møbler</v>
      </c>
      <c r="E54" s="4" t="s">
        <v>1066</v>
      </c>
      <c r="F54" t="str">
        <v>E1020. Institutional Equipment - Institutions inventar</v>
      </c>
      <c r="G54" s="186"/>
    </row>
    <row r="55" spans="1:7" x14ac:dyDescent="0.25">
      <c r="A55" s="185"/>
      <c r="D55" s="4" t="str">
        <f t="shared" si="0"/>
        <v>E. Equipment &amp; Furnishings - Inventar &amp; Møbler</v>
      </c>
      <c r="E55" s="4" t="s">
        <v>1066</v>
      </c>
      <c r="F55" t="str">
        <v>E1030. Vehicular Equipment - Mobilt inventar</v>
      </c>
      <c r="G55" s="186"/>
    </row>
    <row r="56" spans="1:7" x14ac:dyDescent="0.25">
      <c r="A56" s="185"/>
      <c r="D56" s="4" t="str">
        <f t="shared" si="0"/>
        <v>E. Equipment &amp; Furnishings - Inventar &amp; Møbler</v>
      </c>
      <c r="E56" s="4" t="s">
        <v>1066</v>
      </c>
      <c r="F56" t="str">
        <v>E1040. Other Equipment - Andet inventar</v>
      </c>
      <c r="G56" s="186"/>
    </row>
    <row r="57" spans="1:7" x14ac:dyDescent="0.25">
      <c r="A57" s="185"/>
      <c r="D57" s="4" t="str">
        <f t="shared" si="0"/>
        <v>E. Equipment &amp; Furnishings - Inventar &amp; Møbler</v>
      </c>
      <c r="E57" s="4" t="s">
        <v>931</v>
      </c>
      <c r="F57" t="str">
        <v>E2010. Fixed Furnishings - Fast Møbler</v>
      </c>
      <c r="G57" s="186"/>
    </row>
    <row r="58" spans="1:7" x14ac:dyDescent="0.25">
      <c r="A58" s="185"/>
      <c r="D58" s="4" t="str">
        <f t="shared" si="0"/>
        <v>E. Equipment &amp; Furnishings - Inventar &amp; Møbler</v>
      </c>
      <c r="E58" s="4" t="s">
        <v>931</v>
      </c>
      <c r="F58" t="str">
        <v>E2020. Movable Furnishings - Løst inventar</v>
      </c>
      <c r="G58" s="186"/>
    </row>
    <row r="59" spans="1:7" x14ac:dyDescent="0.25">
      <c r="A59" s="185"/>
      <c r="D59" s="4" t="str">
        <f t="shared" si="0"/>
        <v>F. Special Construction &amp; Demolition - Speciel konstruktion &amp; Nedrivning</v>
      </c>
      <c r="E59" s="4" t="s">
        <v>1185</v>
      </c>
      <c r="F59" t="str">
        <v>F1010. Special Structures - Specielle Konstruktioner</v>
      </c>
      <c r="G59" s="186"/>
    </row>
    <row r="60" spans="1:7" x14ac:dyDescent="0.25">
      <c r="A60" s="185"/>
      <c r="D60" s="4" t="str">
        <f t="shared" si="0"/>
        <v>F. Special Construction &amp; Demolition - Speciel konstruktion &amp; Nedrivning</v>
      </c>
      <c r="E60" s="4" t="s">
        <v>1185</v>
      </c>
      <c r="F60" t="str">
        <v>F1020. Integrated Construction - Indbygget konstruktioner</v>
      </c>
      <c r="G60" s="186"/>
    </row>
    <row r="61" spans="1:7" x14ac:dyDescent="0.25">
      <c r="A61" s="185"/>
      <c r="D61" s="4" t="str">
        <f t="shared" si="0"/>
        <v>F. Special Construction &amp; Demolition - Speciel konstruktion &amp; Nedrivning</v>
      </c>
      <c r="E61" s="4" t="s">
        <v>1185</v>
      </c>
      <c r="F61" t="str">
        <v>F1030. Special Construction Systems - Specielle Konstruktion Systemer</v>
      </c>
      <c r="G61" s="186"/>
    </row>
    <row r="62" spans="1:7" x14ac:dyDescent="0.25">
      <c r="A62" s="185"/>
      <c r="D62" s="4" t="str">
        <f t="shared" si="0"/>
        <v>F. Special Construction &amp; Demolition - Speciel konstruktion &amp; Nedrivning</v>
      </c>
      <c r="E62" s="4" t="s">
        <v>1185</v>
      </c>
      <c r="F62" t="str">
        <v>F1040. Special Facilities - Specielle Faciliteter</v>
      </c>
      <c r="G62" s="186"/>
    </row>
    <row r="63" spans="1:7" x14ac:dyDescent="0.25">
      <c r="A63" s="185"/>
      <c r="D63" s="4" t="str">
        <f t="shared" si="0"/>
        <v>F. Special Construction &amp; Demolition - Speciel konstruktion &amp; Nedrivning</v>
      </c>
      <c r="E63" s="4" t="s">
        <v>1185</v>
      </c>
      <c r="F63" t="str">
        <v>F1050. Special Controls &amp; Instrumentation - Specielle Kontrol &amp; Instrumentation</v>
      </c>
      <c r="G63" s="186"/>
    </row>
    <row r="64" spans="1:7" x14ac:dyDescent="0.25">
      <c r="A64" s="185"/>
      <c r="D64" s="4" t="str">
        <f t="shared" si="0"/>
        <v>F. Special Construction &amp; Demolition - Speciel konstruktion &amp; Nedrivning</v>
      </c>
      <c r="E64" s="4" t="s">
        <v>1074</v>
      </c>
      <c r="F64" t="str">
        <v>F2010. Building Elements Demolition - Bygningselementer nedrivning</v>
      </c>
      <c r="G64" s="186"/>
    </row>
    <row r="65" spans="1:7" x14ac:dyDescent="0.25">
      <c r="A65" s="185"/>
      <c r="D65" s="4" t="str">
        <f t="shared" si="0"/>
        <v>F. Special Construction &amp; Demolition - Speciel konstruktion &amp; Nedrivning</v>
      </c>
      <c r="E65" s="4" t="s">
        <v>1074</v>
      </c>
      <c r="F65" t="str">
        <v>F2020. Hazardous Components Abatement - Fjernelse af farligt materiale</v>
      </c>
      <c r="G65" s="186"/>
    </row>
    <row r="66" spans="1:7" x14ac:dyDescent="0.25">
      <c r="A66" s="185"/>
      <c r="D66" s="4" t="str">
        <f t="shared" si="0"/>
        <v>G. Building Sitework - Grund &amp; Terræn arbejder</v>
      </c>
      <c r="E66" s="4" t="s">
        <v>1107</v>
      </c>
      <c r="F66" t="str">
        <v>G1010. Site Clearing – Rydning af Grund</v>
      </c>
      <c r="G66" s="186"/>
    </row>
    <row r="67" spans="1:7" x14ac:dyDescent="0.25">
      <c r="A67" s="185"/>
      <c r="D67" s="4" t="str">
        <f t="shared" si="0"/>
        <v>G. Building Sitework - Grund &amp; Terræn arbejder</v>
      </c>
      <c r="E67" s="4" t="s">
        <v>1107</v>
      </c>
      <c r="F67" t="str">
        <v>G1020. Site Demolition &amp; Relocation – Grund nedrivning og flytning</v>
      </c>
      <c r="G67" s="186"/>
    </row>
    <row r="68" spans="1:7" x14ac:dyDescent="0.25">
      <c r="A68" s="185"/>
      <c r="D68" s="4" t="str">
        <f t="shared" ref="D68:D90" si="1">_xlfn.XLOOKUP(E68,$C$3:$C$28,$B$3:$B$28)</f>
        <v>G. Building Sitework - Grund &amp; Terræn arbejder</v>
      </c>
      <c r="E68" s="4" t="s">
        <v>1107</v>
      </c>
      <c r="F68" t="str">
        <v>G1030. Site Earthwork – Grund jordarbejder</v>
      </c>
      <c r="G68" s="186"/>
    </row>
    <row r="69" spans="1:7" x14ac:dyDescent="0.25">
      <c r="A69" s="185"/>
      <c r="D69" s="4" t="str">
        <f t="shared" si="1"/>
        <v>G. Building Sitework - Grund &amp; Terræn arbejder</v>
      </c>
      <c r="E69" s="4" t="s">
        <v>1107</v>
      </c>
      <c r="F69" t="str">
        <v>G1040. Hazardous Waste Remediation - Farligt Oprydning affald</v>
      </c>
      <c r="G69" s="186"/>
    </row>
    <row r="70" spans="1:7" x14ac:dyDescent="0.25">
      <c r="A70" s="185"/>
      <c r="D70" s="4" t="str">
        <f t="shared" si="1"/>
        <v>G. Building Sitework - Grund &amp; Terræn arbejder</v>
      </c>
      <c r="E70" s="4" t="s">
        <v>1059</v>
      </c>
      <c r="F70" t="str">
        <v>G2010. Roadways – Kørebaner / Vejbaner</v>
      </c>
      <c r="G70" s="186"/>
    </row>
    <row r="71" spans="1:7" x14ac:dyDescent="0.25">
      <c r="A71" s="185"/>
      <c r="D71" s="4" t="str">
        <f t="shared" si="1"/>
        <v>G. Building Sitework - Grund &amp; Terræn arbejder</v>
      </c>
      <c r="E71" s="4" t="s">
        <v>1059</v>
      </c>
      <c r="F71" t="str">
        <v>G2020. Parking Lots - Parkeringspladser</v>
      </c>
      <c r="G71" s="186"/>
    </row>
    <row r="72" spans="1:7" x14ac:dyDescent="0.25">
      <c r="A72" s="185"/>
      <c r="D72" s="4" t="str">
        <f t="shared" si="1"/>
        <v>G. Building Sitework - Grund &amp; Terræn arbejder</v>
      </c>
      <c r="E72" s="4" t="s">
        <v>1059</v>
      </c>
      <c r="F72" t="str">
        <v>G2030. Pedestrian Paving - Gågade Brolægning</v>
      </c>
      <c r="G72" s="186"/>
    </row>
    <row r="73" spans="1:7" x14ac:dyDescent="0.25">
      <c r="A73" s="185"/>
      <c r="D73" s="4" t="str">
        <f t="shared" si="1"/>
        <v>G. Building Sitework - Grund &amp; Terræn arbejder</v>
      </c>
      <c r="E73" s="4" t="s">
        <v>1059</v>
      </c>
      <c r="F73" t="str">
        <v>G2040. Site Development – Udvikling af Grund / Modning</v>
      </c>
      <c r="G73" s="186"/>
    </row>
    <row r="74" spans="1:7" x14ac:dyDescent="0.25">
      <c r="A74" s="185"/>
      <c r="D74" s="4" t="str">
        <f t="shared" si="1"/>
        <v>G. Building Sitework - Grund &amp; Terræn arbejder</v>
      </c>
      <c r="E74" s="4" t="s">
        <v>1059</v>
      </c>
      <c r="F74" t="str">
        <v>G2050. Landscaping - Landskab</v>
      </c>
      <c r="G74" s="186"/>
    </row>
    <row r="75" spans="1:7" x14ac:dyDescent="0.25">
      <c r="A75" s="185"/>
      <c r="D75" s="4" t="str">
        <f t="shared" si="1"/>
        <v>G. Building Sitework - Grund &amp; Terræn arbejder</v>
      </c>
      <c r="E75" s="4" t="s">
        <v>845</v>
      </c>
      <c r="F75" t="str">
        <v>G3010. Water Supply &amp; Distribution Systems – Vand forsyning &amp; fordeling Systemer</v>
      </c>
      <c r="G75" s="186"/>
    </row>
    <row r="76" spans="1:7" x14ac:dyDescent="0.25">
      <c r="A76" s="185"/>
      <c r="D76" s="4" t="str">
        <f t="shared" si="1"/>
        <v>G. Building Sitework - Grund &amp; Terræn arbejder</v>
      </c>
      <c r="E76" s="4" t="s">
        <v>845</v>
      </c>
      <c r="F76" t="str">
        <v>G3020. Sanitary Sewer Systems - Sanitet Kloak Systemer</v>
      </c>
      <c r="G76" s="186"/>
    </row>
    <row r="77" spans="1:7" x14ac:dyDescent="0.25">
      <c r="A77" s="185"/>
      <c r="D77" s="4" t="str">
        <f t="shared" si="1"/>
        <v>G. Building Sitework - Grund &amp; Terræn arbejder</v>
      </c>
      <c r="E77" s="4" t="s">
        <v>845</v>
      </c>
      <c r="F77" t="str">
        <v>G3030. Storm Sewer Systems – Storm Kloak Systemer</v>
      </c>
      <c r="G77" s="186"/>
    </row>
    <row r="78" spans="1:7" x14ac:dyDescent="0.25">
      <c r="A78" s="185"/>
      <c r="D78" s="4" t="str">
        <f t="shared" si="1"/>
        <v>G. Building Sitework - Grund &amp; Terræn arbejder</v>
      </c>
      <c r="E78" s="4" t="s">
        <v>845</v>
      </c>
      <c r="F78" t="str">
        <v>G3040. Heating Distribution – Varmeinstallationer</v>
      </c>
      <c r="G78" s="186"/>
    </row>
    <row r="79" spans="1:7" x14ac:dyDescent="0.25">
      <c r="A79" s="185"/>
      <c r="D79" s="4" t="str">
        <f t="shared" si="1"/>
        <v>G. Building Sitework - Grund &amp; Terræn arbejder</v>
      </c>
      <c r="E79" s="4" t="s">
        <v>845</v>
      </c>
      <c r="F79" t="str">
        <v>G3050. Cooling Distribution - Kølesystem</v>
      </c>
      <c r="G79" s="186"/>
    </row>
    <row r="80" spans="1:7" x14ac:dyDescent="0.25">
      <c r="A80" s="185"/>
      <c r="D80" s="4" t="str">
        <f t="shared" si="1"/>
        <v>G. Building Sitework - Grund &amp; Terræn arbejder</v>
      </c>
      <c r="E80" s="4" t="s">
        <v>845</v>
      </c>
      <c r="F80" t="str">
        <v>G3060. Fuel Distribution - Brændstofinstallationer</v>
      </c>
      <c r="G80" s="186"/>
    </row>
    <row r="81" spans="1:7" x14ac:dyDescent="0.25">
      <c r="A81" s="185"/>
      <c r="D81" s="4" t="str">
        <f t="shared" si="1"/>
        <v>G. Building Sitework - Grund &amp; Terræn arbejder</v>
      </c>
      <c r="E81" s="4" t="s">
        <v>845</v>
      </c>
      <c r="F81" t="str">
        <v>G3070. Other Civil / Mechanical Utilities – Øvrige Bygge / VVS installationer</v>
      </c>
      <c r="G81" s="186"/>
    </row>
    <row r="82" spans="1:7" x14ac:dyDescent="0.25">
      <c r="A82" s="185"/>
      <c r="D82" s="4" t="str">
        <f t="shared" si="1"/>
        <v>G. Building Sitework - Grund &amp; Terræn arbejder</v>
      </c>
      <c r="E82" s="4" t="s">
        <v>945</v>
      </c>
      <c r="F82" t="str">
        <v>G4010. Electrical Distribution - Elinstallation &amp; Fordeling</v>
      </c>
      <c r="G82" s="186"/>
    </row>
    <row r="83" spans="1:7" x14ac:dyDescent="0.25">
      <c r="A83" s="185"/>
      <c r="D83" s="4" t="str">
        <f t="shared" si="1"/>
        <v>G. Building Sitework - Grund &amp; Terræn arbejder</v>
      </c>
      <c r="E83" s="4" t="s">
        <v>945</v>
      </c>
      <c r="F83" t="str">
        <v>G4020. Exterior Lighting – Udvendige Belysning</v>
      </c>
      <c r="G83" s="186"/>
    </row>
    <row r="84" spans="1:7" x14ac:dyDescent="0.25">
      <c r="A84" s="185"/>
      <c r="D84" s="4" t="str">
        <f t="shared" si="1"/>
        <v>G. Building Sitework - Grund &amp; Terræn arbejder</v>
      </c>
      <c r="E84" s="4" t="s">
        <v>945</v>
      </c>
      <c r="F84" t="str">
        <v>G4030. Exterior Communications &amp; Security – Udvendige Kommunikation &amp; Sikringsanlæg</v>
      </c>
      <c r="G84" s="186"/>
    </row>
    <row r="85" spans="1:7" x14ac:dyDescent="0.25">
      <c r="A85" s="185"/>
      <c r="D85" s="4" t="str">
        <f t="shared" si="1"/>
        <v>G. Building Sitework - Grund &amp; Terræn arbejder</v>
      </c>
      <c r="E85" s="4" t="s">
        <v>945</v>
      </c>
      <c r="F85" t="str">
        <v>G4040. Other Electrical Utilities – Øvrige El installationer</v>
      </c>
      <c r="G85" s="186"/>
    </row>
    <row r="86" spans="1:7" x14ac:dyDescent="0.25">
      <c r="A86" s="185"/>
      <c r="D86" s="4" t="str">
        <f t="shared" si="1"/>
        <v>G. Building Sitework - Grund &amp; Terræn arbejder</v>
      </c>
      <c r="E86" s="4" t="s">
        <v>861</v>
      </c>
      <c r="F86" t="str">
        <v>G5010. Service Tunnels – Service Tunneler</v>
      </c>
      <c r="G86" s="186"/>
    </row>
    <row r="87" spans="1:7" x14ac:dyDescent="0.25">
      <c r="A87" s="185"/>
      <c r="D87" s="4" t="str">
        <f t="shared" si="1"/>
        <v>G. Building Sitework - Grund &amp; Terræn arbejder</v>
      </c>
      <c r="E87" s="4" t="s">
        <v>861</v>
      </c>
      <c r="F87" t="str">
        <v>G5020. Other Site Systems &amp; Equipment – Øvrige Terræn Systemer &amp; Inventar</v>
      </c>
      <c r="G87" s="186"/>
    </row>
    <row r="88" spans="1:7" x14ac:dyDescent="0.25">
      <c r="A88" s="185"/>
      <c r="D88" s="4" t="str">
        <f t="shared" si="1"/>
        <v>H. Byggeplads - Building Site</v>
      </c>
      <c r="E88" s="4" t="s">
        <v>836</v>
      </c>
      <c r="G88" s="186"/>
    </row>
    <row r="89" spans="1:7" x14ac:dyDescent="0.25">
      <c r="A89" s="185"/>
      <c r="D89" s="4" t="str">
        <f t="shared" si="1"/>
        <v>H. Byggeplads - Building Site</v>
      </c>
      <c r="E89" s="4" t="s">
        <v>837</v>
      </c>
      <c r="G89" s="186"/>
    </row>
    <row r="90" spans="1:7" ht="15.75" thickBot="1" x14ac:dyDescent="0.3">
      <c r="A90" s="187"/>
      <c r="B90" s="188"/>
      <c r="C90" s="188"/>
      <c r="D90" s="189" t="str">
        <f t="shared" si="1"/>
        <v>H. Byggeplads - Building Site</v>
      </c>
      <c r="E90" s="189" t="s">
        <v>838</v>
      </c>
      <c r="F90" s="188"/>
      <c r="G90" s="19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F9EC-2955-4F97-8B7F-38609C3983BD}">
  <dimension ref="E3:N47"/>
  <sheetViews>
    <sheetView topLeftCell="A12" workbookViewId="0">
      <selection activeCell="F13" sqref="F13"/>
    </sheetView>
  </sheetViews>
  <sheetFormatPr defaultRowHeight="15" x14ac:dyDescent="0.25"/>
  <cols>
    <col min="6" max="6" width="69.5703125" bestFit="1" customWidth="1"/>
    <col min="7" max="7" width="23.85546875" customWidth="1"/>
    <col min="8" max="8" width="21.28515625" customWidth="1"/>
    <col min="9" max="14" width="17.28515625" customWidth="1"/>
  </cols>
  <sheetData>
    <row r="3" spans="5:14" x14ac:dyDescent="0.25">
      <c r="I3" t="s">
        <v>7</v>
      </c>
    </row>
    <row r="4" spans="5:14" x14ac:dyDescent="0.25">
      <c r="E4" t="e" cm="1">
        <f t="array" ref="E4">_xlfn.XLOOKUP(I3,F9:F15,G9:N15)</f>
        <v>#N/A</v>
      </c>
    </row>
    <row r="7" spans="5:14" ht="21" x14ac:dyDescent="0.35">
      <c r="G7" s="193" t="s">
        <v>1363</v>
      </c>
      <c r="H7" s="193"/>
      <c r="I7" s="193"/>
      <c r="J7" s="193"/>
      <c r="K7" s="193"/>
      <c r="L7" s="193"/>
      <c r="M7" s="193"/>
      <c r="N7" s="193"/>
    </row>
    <row r="9" spans="5:14" x14ac:dyDescent="0.25">
      <c r="F9" s="4" t="s">
        <v>852</v>
      </c>
      <c r="G9" t="s">
        <v>853</v>
      </c>
      <c r="H9" t="s">
        <v>1204</v>
      </c>
      <c r="I9" t="s">
        <v>858</v>
      </c>
      <c r="J9">
        <v>0</v>
      </c>
      <c r="K9">
        <v>0</v>
      </c>
      <c r="L9" t="e">
        <v>#N/A</v>
      </c>
      <c r="M9" t="e">
        <v>#N/A</v>
      </c>
      <c r="N9" t="e">
        <v>#N/A</v>
      </c>
    </row>
    <row r="10" spans="5:14" x14ac:dyDescent="0.25">
      <c r="F10" s="4" t="s">
        <v>867</v>
      </c>
      <c r="G10" t="s">
        <v>1298</v>
      </c>
      <c r="H10" t="s">
        <v>868</v>
      </c>
      <c r="I10">
        <v>0</v>
      </c>
      <c r="J10">
        <v>0</v>
      </c>
      <c r="K10">
        <v>0</v>
      </c>
      <c r="L10">
        <v>0</v>
      </c>
      <c r="M10" t="e">
        <v>#N/A</v>
      </c>
      <c r="N10" t="e">
        <v>#N/A</v>
      </c>
    </row>
    <row r="11" spans="5:14" x14ac:dyDescent="0.25">
      <c r="F11" s="4" t="s">
        <v>874</v>
      </c>
      <c r="G11" t="s">
        <v>875</v>
      </c>
      <c r="H11" t="s">
        <v>1155</v>
      </c>
      <c r="I11">
        <v>0</v>
      </c>
      <c r="J11">
        <v>0</v>
      </c>
      <c r="K11">
        <v>0</v>
      </c>
      <c r="L11">
        <v>0</v>
      </c>
      <c r="M11">
        <v>0</v>
      </c>
      <c r="N11" t="e">
        <v>#N/A</v>
      </c>
    </row>
    <row r="12" spans="5:14" x14ac:dyDescent="0.25">
      <c r="F12" s="4" t="s">
        <v>881</v>
      </c>
      <c r="G12" t="s">
        <v>882</v>
      </c>
      <c r="H12" t="s">
        <v>1081</v>
      </c>
      <c r="I12" t="s">
        <v>905</v>
      </c>
      <c r="J12">
        <v>0</v>
      </c>
      <c r="K12">
        <v>0</v>
      </c>
      <c r="L12" t="e">
        <v>#N/A</v>
      </c>
      <c r="M12" t="e">
        <v>#N/A</v>
      </c>
      <c r="N12" t="e">
        <v>#N/A</v>
      </c>
    </row>
    <row r="13" spans="5:14" x14ac:dyDescent="0.25">
      <c r="F13" s="4" t="s">
        <v>908</v>
      </c>
      <c r="G13" t="s">
        <v>909</v>
      </c>
      <c r="H13" t="s">
        <v>910</v>
      </c>
      <c r="I13">
        <v>0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</row>
    <row r="14" spans="5:14" x14ac:dyDescent="0.25">
      <c r="F14" s="4" t="s">
        <v>871</v>
      </c>
      <c r="G14" t="s">
        <v>873</v>
      </c>
      <c r="H14" t="s">
        <v>880</v>
      </c>
      <c r="I14" t="s">
        <v>894</v>
      </c>
      <c r="J14" t="s">
        <v>872</v>
      </c>
      <c r="K14" t="s">
        <v>1159</v>
      </c>
      <c r="L14" t="s">
        <v>1222</v>
      </c>
      <c r="M14">
        <v>0</v>
      </c>
      <c r="N14">
        <v>0</v>
      </c>
    </row>
    <row r="15" spans="5:14" x14ac:dyDescent="0.25">
      <c r="F15" s="4" t="s">
        <v>912</v>
      </c>
      <c r="G15" t="s">
        <v>913</v>
      </c>
      <c r="H15" t="s">
        <v>918</v>
      </c>
      <c r="I15" t="s">
        <v>928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</row>
    <row r="16" spans="5:14" x14ac:dyDescent="0.25">
      <c r="F16" s="4" t="s">
        <v>886</v>
      </c>
      <c r="G16" t="s">
        <v>887</v>
      </c>
      <c r="H16" t="s">
        <v>933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</row>
    <row r="17" spans="6:14" x14ac:dyDescent="0.25">
      <c r="F17" s="4" t="s">
        <v>923</v>
      </c>
      <c r="G17" t="s">
        <v>924</v>
      </c>
      <c r="H17" t="s">
        <v>926</v>
      </c>
      <c r="I17" t="s">
        <v>937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</row>
    <row r="18" spans="6:14" x14ac:dyDescent="0.25">
      <c r="F18" s="4" t="s">
        <v>977</v>
      </c>
      <c r="G18" t="s">
        <v>978</v>
      </c>
      <c r="H18" t="s">
        <v>1303</v>
      </c>
      <c r="I18" t="s">
        <v>981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</row>
    <row r="19" spans="6:14" x14ac:dyDescent="0.25">
      <c r="F19" s="4" t="s">
        <v>997</v>
      </c>
      <c r="G19" t="s">
        <v>1002</v>
      </c>
      <c r="H19" t="s">
        <v>1004</v>
      </c>
      <c r="I19" t="s">
        <v>998</v>
      </c>
      <c r="J19" t="s">
        <v>1000</v>
      </c>
      <c r="K19" t="s">
        <v>1212</v>
      </c>
      <c r="L19" t="e">
        <v>#N/A</v>
      </c>
      <c r="M19" t="e">
        <v>#N/A</v>
      </c>
      <c r="N19" t="e">
        <v>#N/A</v>
      </c>
    </row>
    <row r="20" spans="6:14" x14ac:dyDescent="0.25">
      <c r="F20" s="4" t="s">
        <v>983</v>
      </c>
      <c r="G20" t="s">
        <v>1304</v>
      </c>
      <c r="H20" t="s">
        <v>1019</v>
      </c>
      <c r="I20" t="s">
        <v>1015</v>
      </c>
      <c r="J20" t="s">
        <v>1035</v>
      </c>
      <c r="K20" t="s">
        <v>1306</v>
      </c>
      <c r="L20" t="s">
        <v>984</v>
      </c>
      <c r="M20" t="s">
        <v>1011</v>
      </c>
      <c r="N20" t="s">
        <v>1031</v>
      </c>
    </row>
    <row r="21" spans="6:14" x14ac:dyDescent="0.25">
      <c r="F21" s="4" t="s">
        <v>1023</v>
      </c>
      <c r="G21" t="s">
        <v>1024</v>
      </c>
      <c r="H21" t="s">
        <v>1207</v>
      </c>
      <c r="I21" t="s">
        <v>1307</v>
      </c>
      <c r="J21" t="s">
        <v>1308</v>
      </c>
      <c r="K21" t="e">
        <v>#N/A</v>
      </c>
      <c r="L21" t="e">
        <v>#N/A</v>
      </c>
      <c r="M21" t="e">
        <v>#N/A</v>
      </c>
      <c r="N21" t="e">
        <v>#N/A</v>
      </c>
    </row>
    <row r="22" spans="6:14" x14ac:dyDescent="0.25">
      <c r="F22" s="4" t="s">
        <v>949</v>
      </c>
      <c r="G22" t="s">
        <v>952</v>
      </c>
      <c r="H22" t="s">
        <v>960</v>
      </c>
      <c r="I22" t="s">
        <v>965</v>
      </c>
      <c r="J22" t="s">
        <v>950</v>
      </c>
      <c r="K22" t="e">
        <v>#N/A</v>
      </c>
      <c r="L22" t="e">
        <v>#N/A</v>
      </c>
      <c r="M22" t="e">
        <v>#N/A</v>
      </c>
      <c r="N22" t="e">
        <v>#N/A</v>
      </c>
    </row>
    <row r="23" spans="6:14" x14ac:dyDescent="0.25">
      <c r="F23" s="4" t="s">
        <v>1066</v>
      </c>
      <c r="G23" t="s">
        <v>1309</v>
      </c>
      <c r="H23" t="s">
        <v>1203</v>
      </c>
      <c r="I23" t="s">
        <v>1310</v>
      </c>
      <c r="J23" t="s">
        <v>1067</v>
      </c>
      <c r="K23" t="e">
        <v>#N/A</v>
      </c>
      <c r="L23" t="e">
        <v>#N/A</v>
      </c>
      <c r="M23" t="e">
        <v>#N/A</v>
      </c>
      <c r="N23" t="e">
        <v>#N/A</v>
      </c>
    </row>
    <row r="24" spans="6:14" x14ac:dyDescent="0.25">
      <c r="F24" s="4" t="s">
        <v>931</v>
      </c>
      <c r="G24" t="s">
        <v>932</v>
      </c>
      <c r="H24" t="s">
        <v>1064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</row>
    <row r="25" spans="6:14" x14ac:dyDescent="0.25">
      <c r="F25" s="4" t="s">
        <v>1185</v>
      </c>
      <c r="G25" t="s">
        <v>1197</v>
      </c>
      <c r="H25" t="s">
        <v>1311</v>
      </c>
      <c r="I25" t="s">
        <v>1230</v>
      </c>
      <c r="J25" t="s">
        <v>1186</v>
      </c>
      <c r="K25" t="s">
        <v>1227</v>
      </c>
      <c r="L25" t="e">
        <v>#N/A</v>
      </c>
      <c r="M25" t="e">
        <v>#N/A</v>
      </c>
      <c r="N25" t="e">
        <v>#N/A</v>
      </c>
    </row>
    <row r="26" spans="6:14" x14ac:dyDescent="0.25">
      <c r="F26" s="4" t="s">
        <v>1074</v>
      </c>
      <c r="G26" t="s">
        <v>1075</v>
      </c>
      <c r="H26" t="s">
        <v>1312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</row>
    <row r="27" spans="6:14" x14ac:dyDescent="0.25">
      <c r="F27" s="4" t="s">
        <v>1107</v>
      </c>
      <c r="G27" t="s">
        <v>1058</v>
      </c>
      <c r="H27" t="s">
        <v>844</v>
      </c>
      <c r="I27" t="s">
        <v>840</v>
      </c>
      <c r="J27" t="s">
        <v>1314</v>
      </c>
      <c r="K27" t="e">
        <v>#N/A</v>
      </c>
      <c r="L27" t="e">
        <v>#N/A</v>
      </c>
      <c r="M27" t="e">
        <v>#N/A</v>
      </c>
      <c r="N27" t="e">
        <v>#N/A</v>
      </c>
    </row>
    <row r="28" spans="6:14" x14ac:dyDescent="0.25">
      <c r="F28" s="4" t="s">
        <v>1059</v>
      </c>
      <c r="G28" t="s">
        <v>1221</v>
      </c>
      <c r="H28" t="s">
        <v>1165</v>
      </c>
      <c r="I28" t="s">
        <v>1062</v>
      </c>
      <c r="J28" t="s">
        <v>1166</v>
      </c>
      <c r="K28" t="s">
        <v>1060</v>
      </c>
      <c r="L28" t="e">
        <v>#N/A</v>
      </c>
      <c r="M28" t="e">
        <v>#N/A</v>
      </c>
      <c r="N28" t="e">
        <v>#N/A</v>
      </c>
    </row>
    <row r="29" spans="6:14" x14ac:dyDescent="0.25">
      <c r="F29" s="4" t="s">
        <v>845</v>
      </c>
      <c r="G29" t="s">
        <v>1318</v>
      </c>
      <c r="H29" t="s">
        <v>846</v>
      </c>
      <c r="I29" t="s">
        <v>1319</v>
      </c>
      <c r="J29" t="s">
        <v>1226</v>
      </c>
      <c r="K29" t="s">
        <v>1320</v>
      </c>
      <c r="L29" t="s">
        <v>1321</v>
      </c>
      <c r="M29" t="s">
        <v>1322</v>
      </c>
      <c r="N29" t="e">
        <v>#N/A</v>
      </c>
    </row>
    <row r="30" spans="6:14" x14ac:dyDescent="0.25">
      <c r="F30" s="4" t="s">
        <v>945</v>
      </c>
      <c r="G30" t="s">
        <v>946</v>
      </c>
      <c r="H30" t="s">
        <v>947</v>
      </c>
      <c r="I30" t="s">
        <v>1211</v>
      </c>
      <c r="J30" t="s">
        <v>1215</v>
      </c>
      <c r="K30">
        <v>0</v>
      </c>
      <c r="L30" t="e">
        <v>#N/A</v>
      </c>
      <c r="M30" t="e">
        <v>#N/A</v>
      </c>
      <c r="N30" t="e">
        <v>#N/A</v>
      </c>
    </row>
    <row r="31" spans="6:14" x14ac:dyDescent="0.25">
      <c r="F31" s="4" t="s">
        <v>861</v>
      </c>
      <c r="G31" t="s">
        <v>862</v>
      </c>
      <c r="H31" t="s">
        <v>1218</v>
      </c>
      <c r="I31">
        <v>0</v>
      </c>
      <c r="J31">
        <v>0</v>
      </c>
      <c r="K31" t="e">
        <v>#N/A</v>
      </c>
      <c r="L31" t="e">
        <v>#N/A</v>
      </c>
      <c r="M31" t="e">
        <v>#N/A</v>
      </c>
      <c r="N31" t="e">
        <v>#N/A</v>
      </c>
    </row>
    <row r="32" spans="6:14" x14ac:dyDescent="0.25">
      <c r="F32" s="4" t="s">
        <v>836</v>
      </c>
    </row>
    <row r="33" spans="6:11" x14ac:dyDescent="0.25">
      <c r="F33" s="4" t="s">
        <v>837</v>
      </c>
    </row>
    <row r="34" spans="6:11" x14ac:dyDescent="0.25">
      <c r="F34" s="4" t="s">
        <v>838</v>
      </c>
    </row>
    <row r="36" spans="6:11" x14ac:dyDescent="0.25">
      <c r="F36" t="s">
        <v>851</v>
      </c>
      <c r="G36" s="4" t="s">
        <v>852</v>
      </c>
      <c r="H36" t="s">
        <v>867</v>
      </c>
    </row>
    <row r="37" spans="6:11" x14ac:dyDescent="0.25">
      <c r="F37" t="s">
        <v>870</v>
      </c>
      <c r="G37" s="4" t="s">
        <v>874</v>
      </c>
      <c r="H37" t="s">
        <v>881</v>
      </c>
      <c r="I37" t="s">
        <v>908</v>
      </c>
      <c r="J37" t="s">
        <v>871</v>
      </c>
    </row>
    <row r="38" spans="6:11" x14ac:dyDescent="0.25">
      <c r="F38" t="s">
        <v>885</v>
      </c>
      <c r="G38" s="4" t="s">
        <v>912</v>
      </c>
      <c r="H38" t="s">
        <v>886</v>
      </c>
      <c r="I38" t="s">
        <v>923</v>
      </c>
    </row>
    <row r="39" spans="6:11" x14ac:dyDescent="0.25">
      <c r="F39" t="s">
        <v>948</v>
      </c>
      <c r="G39" s="4" t="s">
        <v>977</v>
      </c>
      <c r="H39" t="s">
        <v>997</v>
      </c>
      <c r="I39" t="s">
        <v>983</v>
      </c>
      <c r="J39" t="s">
        <v>1023</v>
      </c>
      <c r="K39" t="s">
        <v>949</v>
      </c>
    </row>
    <row r="40" spans="6:11" x14ac:dyDescent="0.25">
      <c r="F40" t="s">
        <v>930</v>
      </c>
      <c r="G40" s="4" t="s">
        <v>1066</v>
      </c>
      <c r="H40" t="s">
        <v>931</v>
      </c>
    </row>
    <row r="41" spans="6:11" x14ac:dyDescent="0.25">
      <c r="F41" t="s">
        <v>1073</v>
      </c>
      <c r="G41" s="4" t="s">
        <v>1185</v>
      </c>
      <c r="H41" t="s">
        <v>1074</v>
      </c>
    </row>
    <row r="42" spans="6:11" x14ac:dyDescent="0.25">
      <c r="F42" t="s">
        <v>839</v>
      </c>
      <c r="G42" s="4" t="s">
        <v>1107</v>
      </c>
      <c r="H42" t="s">
        <v>1059</v>
      </c>
      <c r="I42" t="s">
        <v>845</v>
      </c>
      <c r="J42" t="s">
        <v>945</v>
      </c>
      <c r="K42" t="s">
        <v>861</v>
      </c>
    </row>
    <row r="43" spans="6:11" x14ac:dyDescent="0.25">
      <c r="F43" t="s">
        <v>835</v>
      </c>
      <c r="G43" s="4" t="s">
        <v>836</v>
      </c>
      <c r="H43" t="s">
        <v>837</v>
      </c>
      <c r="I43" t="s">
        <v>838</v>
      </c>
    </row>
    <row r="46" spans="6:11" x14ac:dyDescent="0.25">
      <c r="F46" cm="1">
        <f t="array" aca="1" ref="F46" ca="1">_xlfn.UNIQUE(COUNTA(OFFSET($F$36,MATCH(Template!AF3,Xlookup_frem!F36:F43,0)-1,1,,5),),,TRUE)</f>
        <v>6</v>
      </c>
    </row>
    <row r="47" spans="6:11" x14ac:dyDescent="0.25">
      <c r="F47" t="str" cm="1">
        <f t="array" aca="1" ref="F47:K47" ca="1">_xlfn.UNIQUE(OFFSET($F$36,MATCH(Template!AF3,Xlookup_frem!$F$36:$F$43)-1,1,1,F46),TRUE,TRUE)</f>
        <v>D10. Conveying Systems - Transportanlæg Systemer</v>
      </c>
      <c r="G47" t="str">
        <f ca="1"/>
        <v>D20. Plumbing - Vandinstallationer</v>
      </c>
      <c r="H47" t="str">
        <f ca="1"/>
        <v>D30. HVAC - VVS</v>
      </c>
      <c r="I47" t="str">
        <f ca="1"/>
        <v>D40. Fire Protection - Brand</v>
      </c>
      <c r="J47" t="str">
        <f ca="1"/>
        <v>D50. Electrical - EL</v>
      </c>
      <c r="K47">
        <f ca="1"/>
        <v>0</v>
      </c>
    </row>
  </sheetData>
  <mergeCells count="1">
    <mergeCell ref="G7:N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66F7-F49C-4823-B63C-53D2601773E1}">
  <dimension ref="A1:N408"/>
  <sheetViews>
    <sheetView workbookViewId="0">
      <selection activeCell="F13" sqref="F13"/>
    </sheetView>
  </sheetViews>
  <sheetFormatPr defaultColWidth="9.140625" defaultRowHeight="12.75" outlineLevelRow="4" x14ac:dyDescent="0.2"/>
  <cols>
    <col min="1" max="1" width="9.140625" style="4"/>
    <col min="2" max="2" width="12.140625" style="50" customWidth="1"/>
    <col min="3" max="3" width="15.140625" style="2" bestFit="1" customWidth="1"/>
    <col min="4" max="4" width="72.140625" style="66" customWidth="1"/>
    <col min="5" max="5" width="71.140625" style="3" hidden="1" customWidth="1"/>
    <col min="6" max="6" width="49.28515625" style="54" hidden="1" customWidth="1"/>
    <col min="7" max="16384" width="9.140625" style="4"/>
  </cols>
  <sheetData>
    <row r="1" spans="2:9" ht="26.25" customHeight="1" x14ac:dyDescent="0.2">
      <c r="B1" s="1" t="s">
        <v>0</v>
      </c>
    </row>
    <row r="3" spans="2:9" s="6" customFormat="1" ht="45" customHeight="1" x14ac:dyDescent="0.25">
      <c r="B3" s="5" t="s">
        <v>1</v>
      </c>
      <c r="C3" s="5" t="s">
        <v>2</v>
      </c>
      <c r="D3" s="95" t="s">
        <v>3</v>
      </c>
      <c r="E3" s="5" t="s">
        <v>4</v>
      </c>
      <c r="F3" s="95" t="s">
        <v>1327</v>
      </c>
    </row>
    <row r="4" spans="2:9" ht="30" customHeight="1" x14ac:dyDescent="0.2">
      <c r="B4" s="7">
        <v>1</v>
      </c>
      <c r="C4" s="8" t="s">
        <v>5</v>
      </c>
      <c r="D4" s="96" t="s">
        <v>851</v>
      </c>
      <c r="E4" s="8" t="s">
        <v>6</v>
      </c>
      <c r="F4" s="96" t="s">
        <v>851</v>
      </c>
    </row>
    <row r="5" spans="2:9" ht="30" customHeight="1" outlineLevel="1" x14ac:dyDescent="0.2">
      <c r="B5" s="9">
        <f>B4+1</f>
        <v>2</v>
      </c>
      <c r="C5" s="10" t="s">
        <v>7</v>
      </c>
      <c r="D5" s="67" t="s">
        <v>852</v>
      </c>
      <c r="E5" s="10" t="s">
        <v>8</v>
      </c>
      <c r="F5" s="67" t="s">
        <v>851</v>
      </c>
      <c r="G5" s="4" t="str" cm="1">
        <f t="array" ref="G5:I5">TRANSPOSE(_xlfn._xlws.FILTER(D6:D14,D6:D14 &lt;&gt; ""))</f>
        <v>A1010. Standard Foundations - Standard Fundamenter</v>
      </c>
      <c r="H5" s="4" t="str">
        <v>A1020. Special Foundations - Specielle Fundamenter</v>
      </c>
      <c r="I5" s="4" t="str">
        <v>A1030. Slab on grade - Terrændæk</v>
      </c>
    </row>
    <row r="6" spans="2:9" ht="30" hidden="1" customHeight="1" outlineLevel="2" x14ac:dyDescent="0.2">
      <c r="B6" s="11">
        <f t="shared" ref="B6:B69" si="0">B5+1</f>
        <v>3</v>
      </c>
      <c r="C6" s="12" t="s">
        <v>9</v>
      </c>
      <c r="D6" s="97" t="s">
        <v>853</v>
      </c>
      <c r="E6" s="12" t="s">
        <v>10</v>
      </c>
      <c r="F6" s="97" t="s">
        <v>851</v>
      </c>
    </row>
    <row r="7" spans="2:9" ht="30" hidden="1" customHeight="1" outlineLevel="3" x14ac:dyDescent="0.2">
      <c r="B7" s="13">
        <f t="shared" si="0"/>
        <v>4</v>
      </c>
      <c r="C7" s="14"/>
      <c r="D7" s="15"/>
      <c r="E7" s="15"/>
      <c r="F7" s="15"/>
    </row>
    <row r="8" spans="2:9" ht="30" hidden="1" customHeight="1" outlineLevel="3" x14ac:dyDescent="0.2">
      <c r="B8" s="13">
        <f t="shared" si="0"/>
        <v>5</v>
      </c>
      <c r="C8" s="14"/>
      <c r="D8" s="15"/>
      <c r="E8" s="15"/>
      <c r="F8" s="15"/>
    </row>
    <row r="9" spans="2:9" ht="30" hidden="1" customHeight="1" outlineLevel="3" x14ac:dyDescent="0.2">
      <c r="B9" s="13">
        <f t="shared" si="0"/>
        <v>6</v>
      </c>
      <c r="C9" s="14"/>
      <c r="D9" s="15"/>
      <c r="E9" s="15"/>
      <c r="F9" s="15"/>
    </row>
    <row r="10" spans="2:9" ht="30" hidden="1" customHeight="1" outlineLevel="3" x14ac:dyDescent="0.2">
      <c r="B10" s="13">
        <f t="shared" si="0"/>
        <v>7</v>
      </c>
      <c r="C10" s="14"/>
      <c r="D10" s="15"/>
      <c r="E10" s="15"/>
      <c r="F10" s="15"/>
    </row>
    <row r="11" spans="2:9" ht="30" hidden="1" customHeight="1" outlineLevel="3" x14ac:dyDescent="0.2">
      <c r="B11" s="13">
        <f t="shared" si="0"/>
        <v>8</v>
      </c>
      <c r="C11" s="14"/>
      <c r="D11" s="15"/>
      <c r="E11" s="15"/>
      <c r="F11" s="15"/>
    </row>
    <row r="12" spans="2:9" ht="30" hidden="1" customHeight="1" outlineLevel="3" x14ac:dyDescent="0.2">
      <c r="B12" s="13">
        <f t="shared" si="0"/>
        <v>9</v>
      </c>
      <c r="C12" s="14"/>
      <c r="D12" s="15"/>
      <c r="E12" s="15"/>
      <c r="F12" s="15"/>
    </row>
    <row r="13" spans="2:9" ht="30" hidden="1" customHeight="1" outlineLevel="2" collapsed="1" x14ac:dyDescent="0.2">
      <c r="B13" s="11">
        <f t="shared" si="0"/>
        <v>10</v>
      </c>
      <c r="C13" s="12" t="s">
        <v>23</v>
      </c>
      <c r="D13" s="97" t="s">
        <v>1204</v>
      </c>
      <c r="E13" s="12" t="s">
        <v>24</v>
      </c>
      <c r="F13" s="97" t="s">
        <v>851</v>
      </c>
    </row>
    <row r="14" spans="2:9" ht="30" hidden="1" customHeight="1" outlineLevel="2" x14ac:dyDescent="0.2">
      <c r="B14" s="16">
        <f t="shared" si="0"/>
        <v>11</v>
      </c>
      <c r="C14" s="17" t="s">
        <v>25</v>
      </c>
      <c r="D14" s="31" t="s">
        <v>858</v>
      </c>
      <c r="E14" s="17" t="s">
        <v>26</v>
      </c>
      <c r="F14" s="31" t="s">
        <v>851</v>
      </c>
    </row>
    <row r="15" spans="2:9" ht="30" hidden="1" customHeight="1" outlineLevel="3" x14ac:dyDescent="0.2">
      <c r="B15" s="18">
        <f t="shared" si="0"/>
        <v>12</v>
      </c>
      <c r="C15" s="19"/>
      <c r="D15" s="98"/>
      <c r="E15" s="15"/>
      <c r="F15" s="15"/>
    </row>
    <row r="16" spans="2:9" ht="30" hidden="1" customHeight="1" outlineLevel="3" x14ac:dyDescent="0.2">
      <c r="B16" s="18">
        <f t="shared" si="0"/>
        <v>13</v>
      </c>
      <c r="C16" s="19"/>
      <c r="D16" s="98"/>
      <c r="E16" s="15"/>
      <c r="F16" s="15"/>
    </row>
    <row r="17" spans="2:8" ht="30" hidden="1" customHeight="1" outlineLevel="3" x14ac:dyDescent="0.2">
      <c r="B17" s="18">
        <f t="shared" si="0"/>
        <v>14</v>
      </c>
      <c r="C17" s="19"/>
      <c r="D17" s="98"/>
      <c r="E17" s="15"/>
      <c r="F17" s="15"/>
    </row>
    <row r="18" spans="2:8" ht="30" hidden="1" customHeight="1" outlineLevel="3" x14ac:dyDescent="0.2">
      <c r="B18" s="18">
        <f t="shared" si="0"/>
        <v>15</v>
      </c>
      <c r="C18" s="19"/>
      <c r="D18" s="98"/>
      <c r="E18" s="15"/>
      <c r="F18" s="15"/>
    </row>
    <row r="19" spans="2:8" ht="30" customHeight="1" outlineLevel="1" collapsed="1" x14ac:dyDescent="0.2">
      <c r="B19" s="9">
        <f t="shared" si="0"/>
        <v>16</v>
      </c>
      <c r="C19" s="10" t="s">
        <v>35</v>
      </c>
      <c r="D19" s="67" t="s">
        <v>867</v>
      </c>
      <c r="E19" s="10" t="s">
        <v>36</v>
      </c>
      <c r="F19" s="67" t="s">
        <v>851</v>
      </c>
      <c r="G19" s="4" t="str" cm="1">
        <f t="array" ref="G19:H19">TRANSPOSE(_xlfn._xlws.FILTER(D20:D28,D20:D28 &lt;&gt; ""))</f>
        <v>A2010. Basement Excavation - Jordarbejde</v>
      </c>
      <c r="H19" s="4" t="str">
        <v>A2020. Basement Walls - Inder - Yder- vægge kælder</v>
      </c>
    </row>
    <row r="20" spans="2:8" ht="30" hidden="1" customHeight="1" outlineLevel="2" x14ac:dyDescent="0.2">
      <c r="B20" s="20">
        <f t="shared" si="0"/>
        <v>17</v>
      </c>
      <c r="C20" s="21" t="s">
        <v>37</v>
      </c>
      <c r="D20" s="99" t="s">
        <v>1298</v>
      </c>
      <c r="E20" s="21" t="s">
        <v>38</v>
      </c>
      <c r="F20" s="99" t="s">
        <v>851</v>
      </c>
    </row>
    <row r="21" spans="2:8" ht="30" hidden="1" customHeight="1" outlineLevel="2" x14ac:dyDescent="0.2">
      <c r="B21" s="11">
        <f t="shared" si="0"/>
        <v>18</v>
      </c>
      <c r="C21" s="12" t="s">
        <v>39</v>
      </c>
      <c r="D21" s="97" t="s">
        <v>868</v>
      </c>
      <c r="E21" s="12" t="s">
        <v>40</v>
      </c>
      <c r="F21" s="97" t="s">
        <v>851</v>
      </c>
    </row>
    <row r="22" spans="2:8" ht="30" hidden="1" customHeight="1" outlineLevel="3" collapsed="1" x14ac:dyDescent="0.2">
      <c r="B22" s="13">
        <f t="shared" si="0"/>
        <v>19</v>
      </c>
      <c r="C22" s="14"/>
      <c r="D22" s="15"/>
      <c r="E22" s="15"/>
      <c r="F22" s="15"/>
    </row>
    <row r="23" spans="2:8" ht="30" hidden="1" customHeight="1" outlineLevel="3" x14ac:dyDescent="0.2">
      <c r="B23" s="13">
        <f t="shared" si="0"/>
        <v>20</v>
      </c>
      <c r="C23" s="14"/>
      <c r="D23" s="15"/>
      <c r="E23" s="15"/>
      <c r="F23" s="15"/>
    </row>
    <row r="24" spans="2:8" ht="30" hidden="1" customHeight="1" outlineLevel="3" x14ac:dyDescent="0.2">
      <c r="B24" s="13">
        <f t="shared" si="0"/>
        <v>21</v>
      </c>
      <c r="C24" s="14"/>
      <c r="D24" s="15"/>
      <c r="E24" s="14"/>
      <c r="F24" s="15"/>
    </row>
    <row r="25" spans="2:8" ht="30" hidden="1" customHeight="1" outlineLevel="3" x14ac:dyDescent="0.2">
      <c r="B25" s="13">
        <f t="shared" si="0"/>
        <v>22</v>
      </c>
      <c r="C25" s="14"/>
      <c r="D25" s="15"/>
      <c r="E25" s="14"/>
      <c r="F25" s="15"/>
    </row>
    <row r="26" spans="2:8" ht="30" hidden="1" customHeight="1" outlineLevel="3" x14ac:dyDescent="0.2">
      <c r="B26" s="13">
        <f t="shared" si="0"/>
        <v>23</v>
      </c>
      <c r="C26" s="14"/>
      <c r="D26" s="15"/>
      <c r="E26" s="14"/>
      <c r="F26" s="15"/>
    </row>
    <row r="27" spans="2:8" ht="30" hidden="1" customHeight="1" outlineLevel="3" x14ac:dyDescent="0.2">
      <c r="B27" s="13">
        <f t="shared" si="0"/>
        <v>24</v>
      </c>
      <c r="C27" s="14"/>
      <c r="D27" s="15"/>
      <c r="E27" s="14"/>
      <c r="F27" s="15"/>
    </row>
    <row r="28" spans="2:8" ht="30" hidden="1" customHeight="1" outlineLevel="3" x14ac:dyDescent="0.2">
      <c r="B28" s="13">
        <f t="shared" si="0"/>
        <v>25</v>
      </c>
      <c r="C28" s="14"/>
      <c r="D28" s="15"/>
      <c r="E28" s="14"/>
      <c r="F28" s="15"/>
    </row>
    <row r="29" spans="2:8" ht="30" hidden="1" customHeight="1" outlineLevel="3" x14ac:dyDescent="0.2">
      <c r="B29" s="13">
        <f t="shared" si="0"/>
        <v>26</v>
      </c>
      <c r="C29" s="14"/>
      <c r="D29" s="15"/>
      <c r="E29" s="14"/>
      <c r="F29" s="15"/>
    </row>
    <row r="30" spans="2:8" ht="30" hidden="1" customHeight="1" outlineLevel="3" x14ac:dyDescent="0.2">
      <c r="B30" s="13">
        <f t="shared" si="0"/>
        <v>27</v>
      </c>
      <c r="C30" s="14"/>
      <c r="D30" s="15"/>
      <c r="E30" s="14"/>
      <c r="F30" s="15"/>
    </row>
    <row r="31" spans="2:8" ht="30" hidden="1" customHeight="1" outlineLevel="3" x14ac:dyDescent="0.2">
      <c r="B31" s="13">
        <f t="shared" si="0"/>
        <v>28</v>
      </c>
      <c r="C31" s="14"/>
      <c r="D31" s="15"/>
      <c r="E31" s="14"/>
      <c r="F31" s="15"/>
    </row>
    <row r="32" spans="2:8" ht="30" hidden="1" customHeight="1" outlineLevel="3" x14ac:dyDescent="0.2">
      <c r="B32" s="13">
        <f t="shared" si="0"/>
        <v>29</v>
      </c>
      <c r="C32" s="14"/>
      <c r="D32" s="15"/>
      <c r="E32" s="14"/>
      <c r="F32" s="15"/>
    </row>
    <row r="33" spans="2:9" ht="30" customHeight="1" x14ac:dyDescent="0.2">
      <c r="B33" s="7">
        <f t="shared" si="0"/>
        <v>30</v>
      </c>
      <c r="C33" s="8" t="s">
        <v>63</v>
      </c>
      <c r="D33" s="96" t="s">
        <v>870</v>
      </c>
      <c r="E33" s="22" t="s">
        <v>64</v>
      </c>
      <c r="F33" s="102" t="s">
        <v>870</v>
      </c>
    </row>
    <row r="34" spans="2:9" ht="30" customHeight="1" outlineLevel="1" x14ac:dyDescent="0.2">
      <c r="B34" s="9">
        <f t="shared" si="0"/>
        <v>31</v>
      </c>
      <c r="C34" s="10" t="s">
        <v>65</v>
      </c>
      <c r="D34" s="67" t="s">
        <v>874</v>
      </c>
      <c r="E34" s="10" t="s">
        <v>66</v>
      </c>
      <c r="F34" s="67" t="s">
        <v>870</v>
      </c>
      <c r="G34" s="4" t="str" cm="1">
        <f t="array" ref="G34:H34">TRANSPOSE(_xlfn._xlws.FILTER(D35:D52,D35:D52 &lt;&gt; ""))</f>
        <v>B1010. Floor Construction - Etage dæk konstruktion</v>
      </c>
      <c r="H34" s="4" t="str">
        <v>B1020. Roof Construction - Tag konstruktion</v>
      </c>
      <c r="I34" s="32"/>
    </row>
    <row r="35" spans="2:9" ht="30" hidden="1" customHeight="1" outlineLevel="2" x14ac:dyDescent="0.2">
      <c r="B35" s="11">
        <f t="shared" si="0"/>
        <v>32</v>
      </c>
      <c r="C35" s="12" t="s">
        <v>67</v>
      </c>
      <c r="D35" s="97" t="s">
        <v>875</v>
      </c>
      <c r="E35" s="23" t="s">
        <v>68</v>
      </c>
      <c r="F35" s="103" t="s">
        <v>870</v>
      </c>
    </row>
    <row r="36" spans="2:9" ht="30" hidden="1" customHeight="1" outlineLevel="3" x14ac:dyDescent="0.2">
      <c r="B36" s="13">
        <f t="shared" si="0"/>
        <v>33</v>
      </c>
      <c r="C36" s="14"/>
      <c r="D36" s="15"/>
      <c r="E36" s="15"/>
      <c r="F36" s="15"/>
    </row>
    <row r="37" spans="2:9" ht="30" hidden="1" customHeight="1" outlineLevel="3" x14ac:dyDescent="0.2">
      <c r="B37" s="13">
        <f t="shared" si="0"/>
        <v>34</v>
      </c>
      <c r="C37" s="14"/>
      <c r="D37" s="15"/>
      <c r="E37" s="15"/>
      <c r="F37" s="15"/>
    </row>
    <row r="38" spans="2:9" ht="30" hidden="1" customHeight="1" outlineLevel="3" x14ac:dyDescent="0.2">
      <c r="B38" s="13">
        <f t="shared" si="0"/>
        <v>35</v>
      </c>
      <c r="C38" s="14"/>
      <c r="D38" s="15"/>
      <c r="E38" s="14"/>
      <c r="F38" s="15"/>
    </row>
    <row r="39" spans="2:9" ht="30" hidden="1" customHeight="1" outlineLevel="3" x14ac:dyDescent="0.2">
      <c r="B39" s="13">
        <f t="shared" si="0"/>
        <v>36</v>
      </c>
      <c r="C39" s="14"/>
      <c r="D39" s="15"/>
      <c r="E39" s="14"/>
      <c r="F39" s="15"/>
    </row>
    <row r="40" spans="2:9" ht="30" hidden="1" customHeight="1" outlineLevel="3" x14ac:dyDescent="0.2">
      <c r="B40" s="13">
        <f t="shared" si="0"/>
        <v>37</v>
      </c>
      <c r="C40" s="14"/>
      <c r="D40" s="15"/>
      <c r="E40" s="14"/>
      <c r="F40" s="15"/>
    </row>
    <row r="41" spans="2:9" ht="30" hidden="1" customHeight="1" outlineLevel="3" x14ac:dyDescent="0.2">
      <c r="B41" s="13">
        <f t="shared" si="0"/>
        <v>38</v>
      </c>
      <c r="C41" s="14"/>
      <c r="D41" s="15"/>
      <c r="E41" s="14"/>
      <c r="F41" s="15"/>
      <c r="G41" s="32"/>
    </row>
    <row r="42" spans="2:9" ht="30" hidden="1" customHeight="1" outlineLevel="3" x14ac:dyDescent="0.2">
      <c r="B42" s="13">
        <f t="shared" si="0"/>
        <v>39</v>
      </c>
      <c r="C42" s="14"/>
      <c r="D42" s="15"/>
      <c r="E42" s="14"/>
      <c r="F42" s="15"/>
    </row>
    <row r="43" spans="2:9" ht="30" hidden="1" customHeight="1" outlineLevel="3" x14ac:dyDescent="0.2">
      <c r="B43" s="13">
        <f t="shared" si="0"/>
        <v>40</v>
      </c>
      <c r="C43" s="14"/>
      <c r="D43" s="15"/>
      <c r="E43" s="14"/>
      <c r="F43" s="15"/>
    </row>
    <row r="44" spans="2:9" ht="30" hidden="1" customHeight="1" outlineLevel="3" x14ac:dyDescent="0.2">
      <c r="B44" s="13">
        <f t="shared" si="0"/>
        <v>41</v>
      </c>
      <c r="C44" s="14"/>
      <c r="D44" s="15"/>
      <c r="E44" s="14"/>
      <c r="F44" s="15"/>
    </row>
    <row r="45" spans="2:9" ht="30" hidden="1" customHeight="1" outlineLevel="3" x14ac:dyDescent="0.2">
      <c r="B45" s="13">
        <f t="shared" si="0"/>
        <v>42</v>
      </c>
      <c r="C45" s="14"/>
      <c r="D45" s="15"/>
      <c r="E45" s="14"/>
      <c r="F45" s="15"/>
    </row>
    <row r="46" spans="2:9" ht="30" hidden="1" customHeight="1" outlineLevel="3" x14ac:dyDescent="0.2">
      <c r="B46" s="13">
        <f t="shared" si="0"/>
        <v>43</v>
      </c>
      <c r="C46" s="14"/>
      <c r="D46" s="15"/>
      <c r="E46" s="14"/>
      <c r="F46" s="15"/>
    </row>
    <row r="47" spans="2:9" ht="30" hidden="1" customHeight="1" outlineLevel="3" x14ac:dyDescent="0.2">
      <c r="B47" s="13">
        <f t="shared" si="0"/>
        <v>44</v>
      </c>
      <c r="C47" s="14"/>
      <c r="D47" s="15"/>
      <c r="E47" s="14"/>
      <c r="F47" s="15"/>
    </row>
    <row r="48" spans="2:9" ht="30" hidden="1" customHeight="1" outlineLevel="3" x14ac:dyDescent="0.2">
      <c r="B48" s="13">
        <f t="shared" si="0"/>
        <v>45</v>
      </c>
      <c r="C48" s="14"/>
      <c r="D48" s="15"/>
      <c r="E48" s="14"/>
      <c r="F48" s="15"/>
    </row>
    <row r="49" spans="1:9" ht="30" hidden="1" customHeight="1" outlineLevel="3" x14ac:dyDescent="0.2">
      <c r="B49" s="13">
        <f t="shared" si="0"/>
        <v>46</v>
      </c>
      <c r="C49" s="14"/>
      <c r="D49" s="15"/>
      <c r="E49" s="14"/>
      <c r="F49" s="15"/>
    </row>
    <row r="50" spans="1:9" ht="30" hidden="1" customHeight="1" outlineLevel="2" collapsed="1" x14ac:dyDescent="0.2">
      <c r="B50" s="11">
        <f t="shared" si="0"/>
        <v>47</v>
      </c>
      <c r="C50" s="12" t="s">
        <v>97</v>
      </c>
      <c r="D50" s="97" t="s">
        <v>1155</v>
      </c>
      <c r="E50" s="23" t="s">
        <v>98</v>
      </c>
      <c r="F50" s="103" t="s">
        <v>1323</v>
      </c>
    </row>
    <row r="51" spans="1:9" ht="30" hidden="1" customHeight="1" outlineLevel="3" x14ac:dyDescent="0.2">
      <c r="B51" s="13">
        <f t="shared" si="0"/>
        <v>48</v>
      </c>
      <c r="C51" s="14"/>
      <c r="D51" s="15"/>
      <c r="E51" s="14"/>
      <c r="F51" s="15"/>
    </row>
    <row r="52" spans="1:9" ht="30" hidden="1" customHeight="1" outlineLevel="3" x14ac:dyDescent="0.2">
      <c r="B52" s="13">
        <f t="shared" si="0"/>
        <v>49</v>
      </c>
      <c r="C52" s="14"/>
      <c r="D52" s="15"/>
      <c r="E52" s="14"/>
      <c r="F52" s="15"/>
    </row>
    <row r="53" spans="1:9" ht="30" customHeight="1" outlineLevel="1" collapsed="1" x14ac:dyDescent="0.2">
      <c r="B53" s="9">
        <f t="shared" si="0"/>
        <v>50</v>
      </c>
      <c r="C53" s="10" t="s">
        <v>103</v>
      </c>
      <c r="D53" s="67" t="s">
        <v>881</v>
      </c>
      <c r="E53" s="10" t="s">
        <v>104</v>
      </c>
      <c r="F53" s="67" t="s">
        <v>1323</v>
      </c>
      <c r="G53" s="4" t="str" cm="1">
        <f t="array" ref="G53:I53">TRANSPOSE(_xlfn._xlws.FILTER(D54:D73,D54:D73&lt;&gt; ""))</f>
        <v>B2010. Exterior Walls - Udvendige Vægge</v>
      </c>
      <c r="H53" s="4" t="str">
        <v>B2020. Exterior Windows - Udvendige Vindue</v>
      </c>
      <c r="I53" s="4" t="str">
        <v>B2030. Exterior Doors - Udvendige Døre</v>
      </c>
    </row>
    <row r="54" spans="1:9" ht="30" hidden="1" customHeight="1" outlineLevel="2" x14ac:dyDescent="0.2">
      <c r="B54" s="11">
        <f t="shared" si="0"/>
        <v>51</v>
      </c>
      <c r="C54" s="12" t="s">
        <v>105</v>
      </c>
      <c r="D54" s="97" t="s">
        <v>882</v>
      </c>
      <c r="E54" s="23" t="s">
        <v>106</v>
      </c>
      <c r="F54" s="103" t="s">
        <v>1323</v>
      </c>
    </row>
    <row r="55" spans="1:9" s="85" customFormat="1" ht="30" hidden="1" customHeight="1" outlineLevel="3" x14ac:dyDescent="0.2">
      <c r="A55" s="89" t="s">
        <v>65</v>
      </c>
      <c r="B55" s="86">
        <f t="shared" si="0"/>
        <v>52</v>
      </c>
      <c r="C55" s="87"/>
      <c r="D55" s="88"/>
      <c r="E55" s="87"/>
      <c r="F55" s="88"/>
    </row>
    <row r="56" spans="1:9" s="85" customFormat="1" ht="30" hidden="1" customHeight="1" outlineLevel="3" x14ac:dyDescent="0.2">
      <c r="A56" s="89" t="s">
        <v>65</v>
      </c>
      <c r="B56" s="86">
        <f t="shared" si="0"/>
        <v>53</v>
      </c>
      <c r="C56" s="87"/>
      <c r="D56" s="88"/>
      <c r="E56" s="87"/>
      <c r="F56" s="88"/>
    </row>
    <row r="57" spans="1:9" ht="30" hidden="1" customHeight="1" outlineLevel="3" x14ac:dyDescent="0.2">
      <c r="B57" s="13">
        <f t="shared" si="0"/>
        <v>54</v>
      </c>
      <c r="C57" s="14"/>
      <c r="D57" s="15"/>
      <c r="E57" s="14"/>
      <c r="F57" s="15"/>
    </row>
    <row r="58" spans="1:9" ht="30" hidden="1" customHeight="1" outlineLevel="3" x14ac:dyDescent="0.2">
      <c r="B58" s="13">
        <f t="shared" si="0"/>
        <v>55</v>
      </c>
      <c r="C58" s="14"/>
      <c r="D58" s="15"/>
      <c r="E58" s="14"/>
      <c r="F58" s="15"/>
    </row>
    <row r="59" spans="1:9" s="85" customFormat="1" ht="30" hidden="1" customHeight="1" outlineLevel="3" x14ac:dyDescent="0.2">
      <c r="A59" s="89" t="s">
        <v>65</v>
      </c>
      <c r="B59" s="86">
        <f t="shared" si="0"/>
        <v>56</v>
      </c>
      <c r="C59" s="87"/>
      <c r="D59" s="88"/>
      <c r="E59" s="88"/>
      <c r="F59" s="88"/>
    </row>
    <row r="60" spans="1:9" s="85" customFormat="1" ht="30" hidden="1" customHeight="1" outlineLevel="3" x14ac:dyDescent="0.2">
      <c r="A60" s="89" t="s">
        <v>65</v>
      </c>
      <c r="B60" s="86">
        <f t="shared" si="0"/>
        <v>57</v>
      </c>
      <c r="C60" s="87"/>
      <c r="D60" s="88"/>
      <c r="E60" s="88"/>
      <c r="F60" s="88"/>
    </row>
    <row r="61" spans="1:9" s="85" customFormat="1" ht="30" hidden="1" customHeight="1" outlineLevel="3" x14ac:dyDescent="0.2">
      <c r="A61" s="89" t="s">
        <v>65</v>
      </c>
      <c r="B61" s="86">
        <f t="shared" si="0"/>
        <v>58</v>
      </c>
      <c r="C61" s="87"/>
      <c r="D61" s="88"/>
      <c r="E61" s="88"/>
      <c r="F61" s="88"/>
    </row>
    <row r="62" spans="1:9" ht="30" hidden="1" customHeight="1" outlineLevel="3" x14ac:dyDescent="0.2">
      <c r="B62" s="13">
        <f t="shared" si="0"/>
        <v>59</v>
      </c>
      <c r="C62" s="14"/>
      <c r="D62" s="15"/>
      <c r="E62" s="15"/>
      <c r="F62" s="15"/>
    </row>
    <row r="63" spans="1:9" ht="30" hidden="1" customHeight="1" outlineLevel="3" x14ac:dyDescent="0.2">
      <c r="B63" s="13">
        <f t="shared" si="0"/>
        <v>60</v>
      </c>
      <c r="C63" s="14"/>
      <c r="D63" s="15"/>
      <c r="E63" s="15"/>
      <c r="F63" s="15"/>
    </row>
    <row r="64" spans="1:9" ht="30" hidden="1" customHeight="1" outlineLevel="3" x14ac:dyDescent="0.2">
      <c r="B64" s="13">
        <f t="shared" si="0"/>
        <v>61</v>
      </c>
      <c r="C64" s="14"/>
      <c r="D64" s="15"/>
      <c r="E64" s="15"/>
      <c r="F64" s="15"/>
    </row>
    <row r="65" spans="1:12" ht="30" hidden="1" customHeight="1" outlineLevel="3" x14ac:dyDescent="0.2">
      <c r="B65" s="13">
        <f t="shared" si="0"/>
        <v>62</v>
      </c>
      <c r="C65" s="14"/>
      <c r="D65" s="15"/>
      <c r="E65" s="15"/>
      <c r="F65" s="15"/>
    </row>
    <row r="66" spans="1:12" s="85" customFormat="1" ht="30" hidden="1" customHeight="1" outlineLevel="3" x14ac:dyDescent="0.2">
      <c r="A66" s="89" t="s">
        <v>65</v>
      </c>
      <c r="B66" s="86">
        <f t="shared" si="0"/>
        <v>63</v>
      </c>
      <c r="C66" s="87"/>
      <c r="D66" s="88"/>
      <c r="E66" s="88"/>
      <c r="F66" s="88"/>
    </row>
    <row r="67" spans="1:12" ht="30" hidden="1" customHeight="1" outlineLevel="2" collapsed="1" x14ac:dyDescent="0.2">
      <c r="B67" s="11">
        <f t="shared" si="0"/>
        <v>64</v>
      </c>
      <c r="C67" s="12" t="s">
        <v>130</v>
      </c>
      <c r="D67" s="97" t="s">
        <v>1081</v>
      </c>
      <c r="E67" s="23" t="s">
        <v>131</v>
      </c>
      <c r="F67" s="103" t="s">
        <v>1323</v>
      </c>
    </row>
    <row r="68" spans="1:12" ht="30" hidden="1" customHeight="1" outlineLevel="3" x14ac:dyDescent="0.2">
      <c r="B68" s="24">
        <f t="shared" si="0"/>
        <v>65</v>
      </c>
      <c r="C68" s="25"/>
      <c r="D68" s="44"/>
      <c r="E68" s="26"/>
      <c r="F68" s="104"/>
    </row>
    <row r="69" spans="1:12" ht="30" hidden="1" customHeight="1" outlineLevel="3" x14ac:dyDescent="0.2">
      <c r="B69" s="24">
        <f t="shared" si="0"/>
        <v>66</v>
      </c>
      <c r="C69" s="25"/>
      <c r="D69" s="44"/>
      <c r="E69" s="26"/>
      <c r="F69" s="104"/>
    </row>
    <row r="70" spans="1:12" ht="30" hidden="1" customHeight="1" outlineLevel="2" collapsed="1" x14ac:dyDescent="0.2">
      <c r="B70" s="11">
        <f t="shared" ref="B70:B133" si="1">B69+1</f>
        <v>67</v>
      </c>
      <c r="C70" s="12" t="s">
        <v>136</v>
      </c>
      <c r="D70" s="97" t="s">
        <v>905</v>
      </c>
      <c r="E70" s="23" t="s">
        <v>137</v>
      </c>
      <c r="F70" s="103" t="s">
        <v>1323</v>
      </c>
    </row>
    <row r="71" spans="1:12" ht="30" hidden="1" customHeight="1" outlineLevel="3" x14ac:dyDescent="0.2">
      <c r="B71" s="13">
        <f t="shared" si="1"/>
        <v>68</v>
      </c>
      <c r="C71" s="14"/>
      <c r="D71" s="15"/>
      <c r="E71" s="14"/>
      <c r="F71" s="15"/>
    </row>
    <row r="72" spans="1:12" ht="30" hidden="1" customHeight="1" outlineLevel="3" x14ac:dyDescent="0.2">
      <c r="B72" s="13">
        <f t="shared" si="1"/>
        <v>69</v>
      </c>
      <c r="C72" s="14"/>
      <c r="D72" s="15"/>
      <c r="E72" s="14"/>
      <c r="F72" s="15"/>
    </row>
    <row r="73" spans="1:12" ht="30" hidden="1" customHeight="1" outlineLevel="3" x14ac:dyDescent="0.2">
      <c r="B73" s="13">
        <f t="shared" si="1"/>
        <v>70</v>
      </c>
      <c r="C73" s="14"/>
      <c r="D73" s="15"/>
      <c r="E73" s="14"/>
      <c r="F73" s="15"/>
    </row>
    <row r="74" spans="1:12" ht="30" customHeight="1" outlineLevel="1" collapsed="1" x14ac:dyDescent="0.2">
      <c r="B74" s="27">
        <f t="shared" si="1"/>
        <v>71</v>
      </c>
      <c r="C74" s="10" t="s">
        <v>144</v>
      </c>
      <c r="D74" s="67" t="s">
        <v>908</v>
      </c>
      <c r="E74" s="10" t="s">
        <v>145</v>
      </c>
      <c r="F74" s="67" t="s">
        <v>1323</v>
      </c>
      <c r="G74" s="4" t="str" cm="1">
        <f t="array" ref="G74:H74">TRANSPOSE(_xlfn._xlws.FILTER(D75:D76,D75:D76 &lt;&gt; ""))</f>
        <v>B3010. Roof Coverings - Tag dækning</v>
      </c>
      <c r="H74" s="4" t="str">
        <v>B3020. Roof Openings - Tag åbninger</v>
      </c>
    </row>
    <row r="75" spans="1:12" ht="30" hidden="1" customHeight="1" outlineLevel="2" x14ac:dyDescent="0.2">
      <c r="B75" s="11">
        <f t="shared" si="1"/>
        <v>72</v>
      </c>
      <c r="C75" s="12" t="s">
        <v>146</v>
      </c>
      <c r="D75" s="97" t="s">
        <v>909</v>
      </c>
      <c r="E75" s="28" t="s">
        <v>147</v>
      </c>
      <c r="F75" s="105" t="s">
        <v>1323</v>
      </c>
    </row>
    <row r="76" spans="1:12" ht="30" hidden="1" customHeight="1" outlineLevel="2" x14ac:dyDescent="0.2">
      <c r="B76" s="11">
        <f t="shared" si="1"/>
        <v>73</v>
      </c>
      <c r="C76" s="12" t="s">
        <v>148</v>
      </c>
      <c r="D76" s="97" t="s">
        <v>910</v>
      </c>
      <c r="E76" s="28" t="s">
        <v>149</v>
      </c>
      <c r="F76" s="105" t="s">
        <v>1323</v>
      </c>
    </row>
    <row r="77" spans="1:12" s="29" customFormat="1" ht="30" customHeight="1" outlineLevel="1" collapsed="1" x14ac:dyDescent="0.2">
      <c r="B77" s="27">
        <f t="shared" si="1"/>
        <v>74</v>
      </c>
      <c r="C77" s="30" t="s">
        <v>150</v>
      </c>
      <c r="D77" s="100" t="s">
        <v>871</v>
      </c>
      <c r="E77" s="30" t="s">
        <v>151</v>
      </c>
      <c r="F77" s="100" t="s">
        <v>870</v>
      </c>
      <c r="G77" s="4" t="str" cm="1">
        <f t="array" ref="G77:L77">TRANSPOSE(_xlfn._xlws.FILTER(D78:D83,D78:D83 &lt;&gt; ""))</f>
        <v>B4010. Elevatorskakte</v>
      </c>
      <c r="H77" s="29" t="str">
        <v>B4020. Indervægge, leverance</v>
      </c>
      <c r="I77" s="29" t="str">
        <v>B4030. Indervægge, montage</v>
      </c>
      <c r="J77" s="29" t="str">
        <v>B4040. Indervægge, insitu</v>
      </c>
      <c r="K77" s="29" t="str">
        <v>B4050. Udstøbningsblokke, udsparinger og tilstøbninger</v>
      </c>
      <c r="L77" s="29" t="str">
        <v>B4060. Øvrige beton konstruktioner</v>
      </c>
    </row>
    <row r="78" spans="1:12" ht="30" hidden="1" customHeight="1" outlineLevel="2" x14ac:dyDescent="0.2">
      <c r="B78" s="16">
        <f t="shared" si="1"/>
        <v>75</v>
      </c>
      <c r="C78" s="17" t="s">
        <v>152</v>
      </c>
      <c r="D78" s="31" t="s">
        <v>873</v>
      </c>
      <c r="E78" s="31" t="s">
        <v>153</v>
      </c>
      <c r="F78" s="31" t="s">
        <v>870</v>
      </c>
    </row>
    <row r="79" spans="1:12" ht="30" hidden="1" customHeight="1" outlineLevel="2" x14ac:dyDescent="0.2">
      <c r="B79" s="16">
        <f t="shared" si="1"/>
        <v>76</v>
      </c>
      <c r="C79" s="17" t="s">
        <v>154</v>
      </c>
      <c r="D79" s="31" t="s">
        <v>880</v>
      </c>
      <c r="E79" s="17" t="s">
        <v>155</v>
      </c>
      <c r="F79" s="31" t="s">
        <v>870</v>
      </c>
    </row>
    <row r="80" spans="1:12" ht="30" hidden="1" customHeight="1" outlineLevel="2" x14ac:dyDescent="0.2">
      <c r="B80" s="16">
        <f t="shared" si="1"/>
        <v>77</v>
      </c>
      <c r="C80" s="17" t="s">
        <v>156</v>
      </c>
      <c r="D80" s="31" t="s">
        <v>894</v>
      </c>
      <c r="E80" s="17" t="s">
        <v>157</v>
      </c>
      <c r="F80" s="31" t="s">
        <v>870</v>
      </c>
    </row>
    <row r="81" spans="2:9" ht="30" hidden="1" customHeight="1" outlineLevel="2" x14ac:dyDescent="0.2">
      <c r="B81" s="16">
        <f t="shared" si="1"/>
        <v>78</v>
      </c>
      <c r="C81" s="17" t="s">
        <v>158</v>
      </c>
      <c r="D81" s="31" t="s">
        <v>872</v>
      </c>
      <c r="E81" s="31" t="s">
        <v>159</v>
      </c>
      <c r="F81" s="31" t="s">
        <v>870</v>
      </c>
    </row>
    <row r="82" spans="2:9" ht="30" hidden="1" customHeight="1" outlineLevel="2" x14ac:dyDescent="0.2">
      <c r="B82" s="16">
        <f t="shared" si="1"/>
        <v>79</v>
      </c>
      <c r="C82" s="17" t="s">
        <v>160</v>
      </c>
      <c r="D82" s="31" t="s">
        <v>1159</v>
      </c>
      <c r="E82" s="17" t="s">
        <v>161</v>
      </c>
      <c r="F82" s="31" t="s">
        <v>870</v>
      </c>
    </row>
    <row r="83" spans="2:9" ht="30" hidden="1" customHeight="1" outlineLevel="2" x14ac:dyDescent="0.2">
      <c r="B83" s="16">
        <f t="shared" si="1"/>
        <v>80</v>
      </c>
      <c r="C83" s="17" t="s">
        <v>162</v>
      </c>
      <c r="D83" s="31" t="s">
        <v>1222</v>
      </c>
      <c r="E83" s="17" t="s">
        <v>163</v>
      </c>
      <c r="F83" s="31" t="s">
        <v>870</v>
      </c>
    </row>
    <row r="84" spans="2:9" ht="30" customHeight="1" x14ac:dyDescent="0.2">
      <c r="B84" s="7">
        <f t="shared" si="1"/>
        <v>81</v>
      </c>
      <c r="C84" s="8" t="s">
        <v>164</v>
      </c>
      <c r="D84" s="96" t="s">
        <v>885</v>
      </c>
      <c r="E84" s="22" t="s">
        <v>165</v>
      </c>
      <c r="F84" s="102" t="s">
        <v>885</v>
      </c>
    </row>
    <row r="85" spans="2:9" ht="30" customHeight="1" outlineLevel="1" x14ac:dyDescent="0.2">
      <c r="B85" s="9">
        <f t="shared" si="1"/>
        <v>82</v>
      </c>
      <c r="C85" s="10" t="s">
        <v>166</v>
      </c>
      <c r="D85" s="67" t="s">
        <v>912</v>
      </c>
      <c r="E85" s="10" t="s">
        <v>167</v>
      </c>
      <c r="F85" s="67" t="s">
        <v>885</v>
      </c>
      <c r="G85" s="4" t="str" cm="1">
        <f t="array" ref="G85:I85">TRANSPOSE(_xlfn._xlws.FILTER(D86:D104,D86:D104 &lt;&gt; ""))</f>
        <v>C1010. Partitions - Skillevægge</v>
      </c>
      <c r="H85" s="4" t="str">
        <v>C1020. Interior Doors - Indvendige Døre</v>
      </c>
      <c r="I85" s="4" t="str">
        <v>C1030. Specialties / Fittings - Armaturer / Udstyr</v>
      </c>
    </row>
    <row r="86" spans="2:9" ht="30" hidden="1" customHeight="1" outlineLevel="2" x14ac:dyDescent="0.2">
      <c r="B86" s="11">
        <f t="shared" si="1"/>
        <v>83</v>
      </c>
      <c r="C86" s="12" t="s">
        <v>168</v>
      </c>
      <c r="D86" s="97" t="s">
        <v>913</v>
      </c>
      <c r="E86" s="12" t="s">
        <v>169</v>
      </c>
      <c r="F86" s="97" t="s">
        <v>885</v>
      </c>
    </row>
    <row r="87" spans="2:9" ht="30" hidden="1" customHeight="1" outlineLevel="3" x14ac:dyDescent="0.2">
      <c r="B87" s="13">
        <f t="shared" si="1"/>
        <v>84</v>
      </c>
      <c r="C87" s="14"/>
      <c r="D87" s="15"/>
      <c r="E87" s="14"/>
      <c r="F87" s="15"/>
    </row>
    <row r="88" spans="2:9" ht="30" hidden="1" customHeight="1" outlineLevel="3" x14ac:dyDescent="0.2">
      <c r="B88" s="24">
        <f t="shared" si="1"/>
        <v>85</v>
      </c>
      <c r="C88" s="25"/>
      <c r="D88" s="44"/>
      <c r="E88" s="25"/>
      <c r="F88" s="44"/>
    </row>
    <row r="89" spans="2:9" ht="30" hidden="1" customHeight="1" outlineLevel="3" x14ac:dyDescent="0.2">
      <c r="B89" s="13">
        <f t="shared" si="1"/>
        <v>86</v>
      </c>
      <c r="C89" s="14"/>
      <c r="D89" s="15"/>
      <c r="E89" s="14"/>
      <c r="F89" s="15"/>
    </row>
    <row r="90" spans="2:9" ht="30" hidden="1" customHeight="1" outlineLevel="3" x14ac:dyDescent="0.2">
      <c r="B90" s="13">
        <f t="shared" si="1"/>
        <v>87</v>
      </c>
      <c r="C90" s="14"/>
      <c r="D90" s="15"/>
      <c r="E90" s="14"/>
      <c r="F90" s="15"/>
    </row>
    <row r="91" spans="2:9" ht="30" hidden="1" customHeight="1" outlineLevel="3" x14ac:dyDescent="0.2">
      <c r="B91" s="13">
        <f t="shared" si="1"/>
        <v>88</v>
      </c>
      <c r="C91" s="14"/>
      <c r="D91" s="15"/>
      <c r="E91" s="14"/>
      <c r="F91" s="15"/>
    </row>
    <row r="92" spans="2:9" ht="30" hidden="1" customHeight="1" outlineLevel="3" x14ac:dyDescent="0.2">
      <c r="B92" s="13">
        <f t="shared" si="1"/>
        <v>89</v>
      </c>
      <c r="C92" s="14"/>
      <c r="D92" s="15"/>
      <c r="E92" s="14"/>
      <c r="F92" s="15"/>
    </row>
    <row r="93" spans="2:9" ht="30" hidden="1" customHeight="1" outlineLevel="3" x14ac:dyDescent="0.2">
      <c r="B93" s="13">
        <f t="shared" si="1"/>
        <v>90</v>
      </c>
      <c r="C93" s="14"/>
      <c r="D93" s="15"/>
      <c r="E93" s="14"/>
      <c r="F93" s="15"/>
    </row>
    <row r="94" spans="2:9" ht="30" hidden="1" customHeight="1" outlineLevel="2" collapsed="1" x14ac:dyDescent="0.2">
      <c r="B94" s="11">
        <f t="shared" si="1"/>
        <v>91</v>
      </c>
      <c r="C94" s="12" t="s">
        <v>184</v>
      </c>
      <c r="D94" s="97" t="s">
        <v>918</v>
      </c>
      <c r="E94" s="12" t="s">
        <v>185</v>
      </c>
      <c r="F94" s="97" t="s">
        <v>885</v>
      </c>
    </row>
    <row r="95" spans="2:9" ht="30" hidden="1" customHeight="1" outlineLevel="3" x14ac:dyDescent="0.2">
      <c r="B95" s="13">
        <f t="shared" si="1"/>
        <v>92</v>
      </c>
      <c r="C95" s="14"/>
      <c r="D95" s="15"/>
      <c r="E95" s="14"/>
      <c r="F95" s="15"/>
    </row>
    <row r="96" spans="2:9" ht="30" hidden="1" customHeight="1" outlineLevel="3" x14ac:dyDescent="0.2">
      <c r="B96" s="24">
        <f t="shared" si="1"/>
        <v>93</v>
      </c>
      <c r="C96" s="25"/>
      <c r="D96" s="44"/>
      <c r="E96" s="25"/>
      <c r="F96" s="44"/>
    </row>
    <row r="97" spans="2:8" ht="30" hidden="1" customHeight="1" outlineLevel="3" x14ac:dyDescent="0.2">
      <c r="B97" s="13">
        <f t="shared" si="1"/>
        <v>94</v>
      </c>
      <c r="C97" s="14"/>
      <c r="D97" s="15"/>
      <c r="E97" s="14"/>
      <c r="F97" s="15"/>
    </row>
    <row r="98" spans="2:8" ht="30" hidden="1" customHeight="1" outlineLevel="3" x14ac:dyDescent="0.2">
      <c r="B98" s="13">
        <f t="shared" si="1"/>
        <v>95</v>
      </c>
      <c r="C98" s="14"/>
      <c r="D98" s="15"/>
      <c r="E98" s="14"/>
      <c r="F98" s="15"/>
    </row>
    <row r="99" spans="2:8" ht="30" hidden="1" customHeight="1" outlineLevel="3" x14ac:dyDescent="0.2">
      <c r="B99" s="13">
        <f t="shared" si="1"/>
        <v>96</v>
      </c>
      <c r="C99" s="14"/>
      <c r="D99" s="15"/>
      <c r="E99" s="14"/>
      <c r="F99" s="15"/>
    </row>
    <row r="100" spans="2:8" ht="30" hidden="1" customHeight="1" outlineLevel="2" collapsed="1" x14ac:dyDescent="0.2">
      <c r="B100" s="11">
        <f t="shared" si="1"/>
        <v>97</v>
      </c>
      <c r="C100" s="12" t="s">
        <v>196</v>
      </c>
      <c r="D100" s="97" t="s">
        <v>928</v>
      </c>
      <c r="E100" s="12" t="s">
        <v>197</v>
      </c>
      <c r="F100" s="97" t="s">
        <v>885</v>
      </c>
    </row>
    <row r="101" spans="2:8" ht="30" hidden="1" customHeight="1" outlineLevel="3" x14ac:dyDescent="0.2">
      <c r="B101" s="13">
        <f t="shared" si="1"/>
        <v>98</v>
      </c>
      <c r="C101" s="14"/>
      <c r="D101" s="15"/>
      <c r="E101" s="14"/>
      <c r="F101" s="15"/>
    </row>
    <row r="102" spans="2:8" ht="30" hidden="1" customHeight="1" outlineLevel="3" x14ac:dyDescent="0.2">
      <c r="B102" s="13">
        <f t="shared" si="1"/>
        <v>99</v>
      </c>
      <c r="C102" s="14"/>
      <c r="D102" s="15"/>
      <c r="E102" s="14"/>
      <c r="F102" s="15"/>
    </row>
    <row r="103" spans="2:8" ht="30" hidden="1" customHeight="1" outlineLevel="3" x14ac:dyDescent="0.2">
      <c r="B103" s="13">
        <f t="shared" si="1"/>
        <v>100</v>
      </c>
      <c r="C103" s="14"/>
      <c r="D103" s="15"/>
      <c r="E103" s="14"/>
      <c r="F103" s="15"/>
    </row>
    <row r="104" spans="2:8" ht="30" hidden="1" customHeight="1" outlineLevel="3" x14ac:dyDescent="0.2">
      <c r="B104" s="13">
        <f t="shared" si="1"/>
        <v>101</v>
      </c>
      <c r="C104" s="14"/>
      <c r="D104" s="15"/>
      <c r="E104" s="14"/>
      <c r="F104" s="15"/>
    </row>
    <row r="105" spans="2:8" ht="30" customHeight="1" outlineLevel="1" collapsed="1" x14ac:dyDescent="0.2">
      <c r="B105" s="9">
        <f t="shared" si="1"/>
        <v>102</v>
      </c>
      <c r="C105" s="10" t="s">
        <v>205</v>
      </c>
      <c r="D105" s="67" t="s">
        <v>886</v>
      </c>
      <c r="E105" s="10" t="s">
        <v>206</v>
      </c>
      <c r="F105" s="67" t="s">
        <v>870</v>
      </c>
      <c r="G105" s="4" t="str" cm="1">
        <f t="array" ref="G105:H105">TRANSPOSE(_xlfn._xlws.FILTER(D106:D114,D106:D114 &lt;&gt; ""))</f>
        <v>C2010. Stair Construction - Trappe konstruktion</v>
      </c>
      <c r="H105" s="4" t="str">
        <v>C2020. Stair Finishes - Trappe overflader</v>
      </c>
    </row>
    <row r="106" spans="2:8" ht="30" hidden="1" customHeight="1" outlineLevel="2" x14ac:dyDescent="0.2">
      <c r="B106" s="11">
        <f t="shared" si="1"/>
        <v>103</v>
      </c>
      <c r="C106" s="12" t="s">
        <v>207</v>
      </c>
      <c r="D106" s="97" t="s">
        <v>887</v>
      </c>
      <c r="E106" s="12" t="s">
        <v>208</v>
      </c>
      <c r="F106" s="97" t="s">
        <v>870</v>
      </c>
    </row>
    <row r="107" spans="2:8" ht="30" hidden="1" customHeight="1" outlineLevel="3" x14ac:dyDescent="0.2">
      <c r="B107" s="13">
        <f t="shared" si="1"/>
        <v>104</v>
      </c>
      <c r="C107" s="14"/>
      <c r="D107" s="15"/>
      <c r="E107" s="14"/>
      <c r="F107" s="15"/>
    </row>
    <row r="108" spans="2:8" ht="30" hidden="1" customHeight="1" outlineLevel="3" x14ac:dyDescent="0.2">
      <c r="B108" s="13">
        <f t="shared" si="1"/>
        <v>105</v>
      </c>
      <c r="C108" s="14"/>
      <c r="D108" s="15"/>
      <c r="E108" s="14"/>
      <c r="F108" s="15"/>
    </row>
    <row r="109" spans="2:8" ht="30" hidden="1" customHeight="1" outlineLevel="3" x14ac:dyDescent="0.2">
      <c r="B109" s="13">
        <f t="shared" si="1"/>
        <v>106</v>
      </c>
      <c r="C109" s="14"/>
      <c r="D109" s="15"/>
      <c r="E109" s="14"/>
      <c r="F109" s="15"/>
    </row>
    <row r="110" spans="2:8" ht="30" hidden="1" customHeight="1" outlineLevel="3" x14ac:dyDescent="0.2">
      <c r="B110" s="13">
        <f t="shared" si="1"/>
        <v>107</v>
      </c>
      <c r="C110" s="14"/>
      <c r="D110" s="15"/>
      <c r="E110" s="14"/>
      <c r="F110" s="15"/>
    </row>
    <row r="111" spans="2:8" ht="30" hidden="1" customHeight="1" outlineLevel="3" x14ac:dyDescent="0.2">
      <c r="B111" s="13">
        <f t="shared" si="1"/>
        <v>108</v>
      </c>
      <c r="C111" s="14"/>
      <c r="D111" s="15"/>
      <c r="E111" s="14"/>
      <c r="F111" s="15"/>
    </row>
    <row r="112" spans="2:8" ht="30" hidden="1" customHeight="1" outlineLevel="3" x14ac:dyDescent="0.2">
      <c r="B112" s="13">
        <f>B111+1</f>
        <v>109</v>
      </c>
      <c r="C112" s="14"/>
      <c r="D112" s="15"/>
      <c r="E112" s="15"/>
      <c r="F112" s="15"/>
    </row>
    <row r="113" spans="2:9" ht="30" hidden="1" customHeight="1" outlineLevel="3" x14ac:dyDescent="0.2">
      <c r="B113" s="13">
        <f>B112+1</f>
        <v>110</v>
      </c>
      <c r="C113" s="14"/>
      <c r="D113" s="15"/>
      <c r="E113" s="15"/>
      <c r="F113" s="15"/>
    </row>
    <row r="114" spans="2:9" ht="30" hidden="1" customHeight="1" outlineLevel="2" collapsed="1" x14ac:dyDescent="0.2">
      <c r="B114" s="11">
        <f>B113+1</f>
        <v>111</v>
      </c>
      <c r="C114" s="12" t="s">
        <v>223</v>
      </c>
      <c r="D114" s="97" t="s">
        <v>933</v>
      </c>
      <c r="E114" s="12" t="s">
        <v>224</v>
      </c>
      <c r="F114" s="97" t="s">
        <v>885</v>
      </c>
    </row>
    <row r="115" spans="2:9" ht="30" customHeight="1" outlineLevel="1" collapsed="1" x14ac:dyDescent="0.2">
      <c r="B115" s="9">
        <f t="shared" si="1"/>
        <v>112</v>
      </c>
      <c r="C115" s="10" t="s">
        <v>225</v>
      </c>
      <c r="D115" s="67" t="s">
        <v>923</v>
      </c>
      <c r="E115" s="10" t="s">
        <v>226</v>
      </c>
      <c r="F115" s="67" t="s">
        <v>885</v>
      </c>
      <c r="G115" s="4" t="str" cm="1">
        <f t="array" ref="G115:I115">TRANSPOSE(_xlfn._xlws.FILTER(D116:D134,D116:D134 &lt;&gt; ""))</f>
        <v>C3010. Wall Finishes - Vægge overflader</v>
      </c>
      <c r="H115" s="4" t="str">
        <v>C3020. Floor Finishes - Gulve overflader</v>
      </c>
      <c r="I115" s="4" t="str">
        <v>C3030. Ceiling Finishes - Lofter overflader</v>
      </c>
    </row>
    <row r="116" spans="2:9" ht="30" hidden="1" customHeight="1" outlineLevel="2" x14ac:dyDescent="0.2">
      <c r="B116" s="11">
        <f t="shared" si="1"/>
        <v>113</v>
      </c>
      <c r="C116" s="12" t="s">
        <v>227</v>
      </c>
      <c r="D116" s="97" t="s">
        <v>924</v>
      </c>
      <c r="E116" s="12" t="s">
        <v>228</v>
      </c>
      <c r="F116" s="97" t="s">
        <v>885</v>
      </c>
    </row>
    <row r="117" spans="2:9" ht="30" hidden="1" customHeight="1" outlineLevel="3" x14ac:dyDescent="0.2">
      <c r="B117" s="13">
        <f t="shared" si="1"/>
        <v>114</v>
      </c>
      <c r="C117" s="14"/>
      <c r="D117" s="15"/>
      <c r="E117" s="14"/>
      <c r="F117" s="15"/>
    </row>
    <row r="118" spans="2:9" ht="30" hidden="1" customHeight="1" outlineLevel="3" x14ac:dyDescent="0.2">
      <c r="B118" s="13">
        <f t="shared" si="1"/>
        <v>115</v>
      </c>
      <c r="C118" s="14"/>
      <c r="D118" s="15"/>
      <c r="E118" s="14"/>
      <c r="F118" s="15"/>
    </row>
    <row r="119" spans="2:9" ht="30" hidden="1" customHeight="1" outlineLevel="3" x14ac:dyDescent="0.2">
      <c r="B119" s="13">
        <f t="shared" si="1"/>
        <v>116</v>
      </c>
      <c r="C119" s="14"/>
      <c r="D119" s="15"/>
      <c r="E119" s="14"/>
      <c r="F119" s="15"/>
    </row>
    <row r="120" spans="2:9" ht="30" hidden="1" customHeight="1" outlineLevel="3" x14ac:dyDescent="0.2">
      <c r="B120" s="13">
        <f t="shared" si="1"/>
        <v>117</v>
      </c>
      <c r="C120" s="14"/>
      <c r="D120" s="15"/>
      <c r="E120" s="14"/>
      <c r="F120" s="15"/>
    </row>
    <row r="121" spans="2:9" s="32" customFormat="1" ht="30" hidden="1" customHeight="1" outlineLevel="3" x14ac:dyDescent="0.2">
      <c r="B121" s="13">
        <f t="shared" si="1"/>
        <v>118</v>
      </c>
      <c r="C121" s="14"/>
      <c r="D121" s="15"/>
      <c r="E121" s="14"/>
      <c r="F121" s="15"/>
    </row>
    <row r="122" spans="2:9" s="32" customFormat="1" ht="30" hidden="1" customHeight="1" outlineLevel="3" x14ac:dyDescent="0.2">
      <c r="B122" s="13">
        <f t="shared" si="1"/>
        <v>119</v>
      </c>
      <c r="C122" s="14"/>
      <c r="D122" s="15"/>
      <c r="E122" s="14"/>
      <c r="F122" s="15"/>
    </row>
    <row r="123" spans="2:9" ht="30" hidden="1" customHeight="1" outlineLevel="3" x14ac:dyDescent="0.2">
      <c r="B123" s="13">
        <f t="shared" si="1"/>
        <v>120</v>
      </c>
      <c r="C123" s="14"/>
      <c r="D123" s="15"/>
      <c r="E123" s="14"/>
      <c r="F123" s="15"/>
    </row>
    <row r="124" spans="2:9" ht="30" hidden="1" customHeight="1" outlineLevel="3" x14ac:dyDescent="0.2">
      <c r="B124" s="13">
        <f t="shared" si="1"/>
        <v>121</v>
      </c>
      <c r="C124" s="14"/>
      <c r="D124" s="15"/>
      <c r="E124" s="14"/>
      <c r="F124" s="15"/>
    </row>
    <row r="125" spans="2:9" ht="30" hidden="1" customHeight="1" outlineLevel="2" collapsed="1" x14ac:dyDescent="0.2">
      <c r="B125" s="11">
        <f t="shared" si="1"/>
        <v>122</v>
      </c>
      <c r="C125" s="12" t="s">
        <v>245</v>
      </c>
      <c r="D125" s="97" t="s">
        <v>926</v>
      </c>
      <c r="E125" s="12" t="s">
        <v>246</v>
      </c>
      <c r="F125" s="97" t="s">
        <v>885</v>
      </c>
    </row>
    <row r="126" spans="2:9" ht="30" hidden="1" customHeight="1" outlineLevel="3" x14ac:dyDescent="0.2">
      <c r="B126" s="13">
        <f t="shared" si="1"/>
        <v>123</v>
      </c>
      <c r="C126" s="14"/>
      <c r="D126" s="15"/>
      <c r="E126" s="14"/>
      <c r="F126" s="15"/>
    </row>
    <row r="127" spans="2:9" ht="30" hidden="1" customHeight="1" outlineLevel="3" x14ac:dyDescent="0.2">
      <c r="B127" s="13">
        <f t="shared" si="1"/>
        <v>124</v>
      </c>
      <c r="C127" s="14"/>
      <c r="D127" s="15"/>
      <c r="E127" s="14"/>
      <c r="F127" s="15"/>
    </row>
    <row r="128" spans="2:9" ht="30" hidden="1" customHeight="1" outlineLevel="3" x14ac:dyDescent="0.2">
      <c r="B128" s="13">
        <f t="shared" si="1"/>
        <v>125</v>
      </c>
      <c r="C128" s="14"/>
      <c r="D128" s="15"/>
      <c r="E128" s="14"/>
      <c r="F128" s="15"/>
    </row>
    <row r="129" spans="2:11" ht="30" hidden="1" customHeight="1" outlineLevel="3" x14ac:dyDescent="0.2">
      <c r="B129" s="13">
        <f t="shared" si="1"/>
        <v>126</v>
      </c>
      <c r="C129" s="14"/>
      <c r="D129" s="15"/>
      <c r="E129" s="14"/>
      <c r="F129" s="15"/>
    </row>
    <row r="130" spans="2:11" ht="30" hidden="1" customHeight="1" outlineLevel="3" x14ac:dyDescent="0.2">
      <c r="B130" s="13">
        <f t="shared" si="1"/>
        <v>127</v>
      </c>
      <c r="C130" s="14"/>
      <c r="D130" s="15"/>
      <c r="E130" s="14"/>
      <c r="F130" s="15"/>
    </row>
    <row r="131" spans="2:11" ht="30" hidden="1" customHeight="1" outlineLevel="2" collapsed="1" x14ac:dyDescent="0.2">
      <c r="B131" s="11">
        <f t="shared" si="1"/>
        <v>128</v>
      </c>
      <c r="C131" s="12" t="s">
        <v>257</v>
      </c>
      <c r="D131" s="97" t="s">
        <v>937</v>
      </c>
      <c r="E131" s="12" t="s">
        <v>258</v>
      </c>
      <c r="F131" s="97" t="s">
        <v>885</v>
      </c>
    </row>
    <row r="132" spans="2:11" ht="30" hidden="1" customHeight="1" outlineLevel="3" x14ac:dyDescent="0.2">
      <c r="B132" s="13">
        <f t="shared" si="1"/>
        <v>129</v>
      </c>
      <c r="C132" s="14"/>
      <c r="D132" s="15"/>
      <c r="E132" s="14"/>
      <c r="F132" s="15"/>
    </row>
    <row r="133" spans="2:11" s="32" customFormat="1" ht="30" hidden="1" customHeight="1" outlineLevel="3" x14ac:dyDescent="0.2">
      <c r="B133" s="13">
        <f t="shared" si="1"/>
        <v>130</v>
      </c>
      <c r="C133" s="14"/>
      <c r="D133" s="15"/>
      <c r="E133" s="14"/>
      <c r="F133" s="15"/>
    </row>
    <row r="134" spans="2:11" ht="30" hidden="1" customHeight="1" outlineLevel="3" x14ac:dyDescent="0.2">
      <c r="B134" s="13">
        <f t="shared" ref="B134:B197" si="2">B133+1</f>
        <v>131</v>
      </c>
      <c r="C134" s="14"/>
      <c r="D134" s="15"/>
      <c r="E134" s="14"/>
      <c r="F134" s="15"/>
    </row>
    <row r="135" spans="2:11" ht="30" customHeight="1" x14ac:dyDescent="0.2">
      <c r="B135" s="7">
        <f t="shared" si="2"/>
        <v>132</v>
      </c>
      <c r="C135" s="8" t="s">
        <v>265</v>
      </c>
      <c r="D135" s="96" t="s">
        <v>948</v>
      </c>
      <c r="E135" s="22" t="s">
        <v>266</v>
      </c>
      <c r="F135" s="102" t="s">
        <v>948</v>
      </c>
    </row>
    <row r="136" spans="2:11" ht="30" customHeight="1" outlineLevel="1" x14ac:dyDescent="0.2">
      <c r="B136" s="9">
        <f t="shared" si="2"/>
        <v>133</v>
      </c>
      <c r="C136" s="10" t="s">
        <v>267</v>
      </c>
      <c r="D136" s="67" t="s">
        <v>977</v>
      </c>
      <c r="E136" s="10" t="s">
        <v>268</v>
      </c>
      <c r="F136" s="67" t="s">
        <v>1324</v>
      </c>
      <c r="G136" s="4" t="str" cm="1">
        <f t="array" ref="G136:I136">TRANSPOSE(_xlfn._xlws.FILTER(D137:D143,D137:D143 &lt;&gt; ""))</f>
        <v>D1010. Elevators &amp; Lifts - Elevatorer</v>
      </c>
      <c r="H136" s="4" t="str">
        <v>D1020. Escalators &amp; Moving Walks - Rulletrappe og rullende fortov</v>
      </c>
      <c r="I136" s="4" t="str">
        <v>D1030. Other Conveying Systems - Øvrige Transportanlæg Systemer</v>
      </c>
    </row>
    <row r="137" spans="2:11" ht="30" hidden="1" customHeight="1" outlineLevel="2" x14ac:dyDescent="0.2">
      <c r="B137" s="11">
        <f t="shared" si="2"/>
        <v>134</v>
      </c>
      <c r="C137" s="12" t="s">
        <v>269</v>
      </c>
      <c r="D137" s="97" t="s">
        <v>978</v>
      </c>
      <c r="E137" s="23" t="s">
        <v>270</v>
      </c>
      <c r="F137" s="103" t="s">
        <v>1324</v>
      </c>
    </row>
    <row r="138" spans="2:11" ht="30" hidden="1" customHeight="1" outlineLevel="3" x14ac:dyDescent="0.2">
      <c r="B138" s="13">
        <f t="shared" si="2"/>
        <v>135</v>
      </c>
      <c r="C138" s="14"/>
      <c r="D138" s="15"/>
      <c r="E138" s="14"/>
      <c r="F138" s="15"/>
    </row>
    <row r="139" spans="2:11" ht="30" hidden="1" customHeight="1" outlineLevel="3" x14ac:dyDescent="0.2">
      <c r="B139" s="13">
        <f t="shared" si="2"/>
        <v>136</v>
      </c>
      <c r="C139" s="14"/>
      <c r="D139" s="15"/>
      <c r="E139" s="14"/>
      <c r="F139" s="15"/>
    </row>
    <row r="140" spans="2:11" ht="30" hidden="1" customHeight="1" outlineLevel="2" collapsed="1" x14ac:dyDescent="0.2">
      <c r="B140" s="11">
        <f t="shared" si="2"/>
        <v>137</v>
      </c>
      <c r="C140" s="12" t="s">
        <v>275</v>
      </c>
      <c r="D140" s="97" t="s">
        <v>1303</v>
      </c>
      <c r="E140" s="12" t="s">
        <v>276</v>
      </c>
      <c r="F140" s="97" t="s">
        <v>1324</v>
      </c>
    </row>
    <row r="141" spans="2:11" ht="30" hidden="1" customHeight="1" outlineLevel="2" x14ac:dyDescent="0.2">
      <c r="B141" s="11">
        <f t="shared" si="2"/>
        <v>138</v>
      </c>
      <c r="C141" s="12" t="s">
        <v>277</v>
      </c>
      <c r="D141" s="97" t="s">
        <v>981</v>
      </c>
      <c r="E141" s="31" t="s">
        <v>278</v>
      </c>
      <c r="F141" s="31" t="s">
        <v>1324</v>
      </c>
    </row>
    <row r="142" spans="2:11" ht="30" hidden="1" customHeight="1" outlineLevel="3" x14ac:dyDescent="0.2">
      <c r="B142" s="13">
        <f t="shared" si="2"/>
        <v>139</v>
      </c>
      <c r="C142" s="14"/>
      <c r="D142" s="15"/>
      <c r="E142" s="14"/>
      <c r="F142" s="15"/>
    </row>
    <row r="143" spans="2:11" ht="30" hidden="1" customHeight="1" outlineLevel="3" x14ac:dyDescent="0.2">
      <c r="B143" s="13">
        <f t="shared" si="2"/>
        <v>140</v>
      </c>
      <c r="C143" s="14"/>
      <c r="D143" s="15"/>
      <c r="E143" s="14"/>
      <c r="F143" s="15"/>
    </row>
    <row r="144" spans="2:11" ht="30" customHeight="1" outlineLevel="1" collapsed="1" x14ac:dyDescent="0.2">
      <c r="B144" s="9">
        <f>B143+1</f>
        <v>141</v>
      </c>
      <c r="C144" s="10" t="s">
        <v>283</v>
      </c>
      <c r="D144" s="67" t="s">
        <v>997</v>
      </c>
      <c r="E144" s="10" t="s">
        <v>284</v>
      </c>
      <c r="F144" s="67" t="s">
        <v>1325</v>
      </c>
      <c r="G144" s="4" t="str" cm="1">
        <f t="array" ref="G144:K144">TRANSPOSE(_xlfn._xlws.FILTER(D145:D160,D145:D160 &lt;&gt; ""))</f>
        <v>D2010. Plumbing Fixtures - Vandinstallation armaturer m.m.</v>
      </c>
      <c r="H144" s="4" t="str">
        <v>D2020. Domestic Water Distribution - Brugsvand fordeling</v>
      </c>
      <c r="I144" s="4" t="str">
        <v>D2030. Sanitary Waste - Sanitet afløb spildevand</v>
      </c>
      <c r="J144" s="4" t="str">
        <v>D2040. Rain Water Drainage - Afvanding regn</v>
      </c>
      <c r="K144" s="4" t="str">
        <v>D2050. Special Plumbing Systems - Specielle vandinstallationer</v>
      </c>
    </row>
    <row r="145" spans="2:6" ht="30" hidden="1" customHeight="1" outlineLevel="2" x14ac:dyDescent="0.2">
      <c r="B145" s="11">
        <f t="shared" si="2"/>
        <v>142</v>
      </c>
      <c r="C145" s="12" t="s">
        <v>285</v>
      </c>
      <c r="D145" s="97" t="s">
        <v>1002</v>
      </c>
      <c r="E145" s="23" t="s">
        <v>286</v>
      </c>
      <c r="F145" s="103" t="s">
        <v>1325</v>
      </c>
    </row>
    <row r="146" spans="2:6" ht="30" hidden="1" customHeight="1" outlineLevel="2" x14ac:dyDescent="0.2">
      <c r="B146" s="11">
        <f t="shared" si="2"/>
        <v>143</v>
      </c>
      <c r="C146" s="12" t="s">
        <v>287</v>
      </c>
      <c r="D146" s="97" t="s">
        <v>1004</v>
      </c>
      <c r="E146" s="12" t="s">
        <v>288</v>
      </c>
      <c r="F146" s="97" t="s">
        <v>1325</v>
      </c>
    </row>
    <row r="147" spans="2:6" ht="30" hidden="1" customHeight="1" outlineLevel="3" x14ac:dyDescent="0.2">
      <c r="B147" s="13">
        <f t="shared" si="2"/>
        <v>144</v>
      </c>
      <c r="C147" s="14"/>
      <c r="D147" s="15"/>
      <c r="E147" s="14"/>
      <c r="F147" s="15"/>
    </row>
    <row r="148" spans="2:6" ht="30" hidden="1" customHeight="1" outlineLevel="3" x14ac:dyDescent="0.2">
      <c r="B148" s="13">
        <f t="shared" si="2"/>
        <v>145</v>
      </c>
      <c r="C148" s="14"/>
      <c r="D148" s="15"/>
      <c r="E148" s="14"/>
      <c r="F148" s="15"/>
    </row>
    <row r="149" spans="2:6" ht="30" hidden="1" customHeight="1" outlineLevel="3" x14ac:dyDescent="0.2">
      <c r="B149" s="13">
        <f t="shared" si="2"/>
        <v>146</v>
      </c>
      <c r="C149" s="14"/>
      <c r="D149" s="15"/>
      <c r="E149" s="14"/>
      <c r="F149" s="15"/>
    </row>
    <row r="150" spans="2:6" ht="30" hidden="1" customHeight="1" outlineLevel="3" x14ac:dyDescent="0.2">
      <c r="B150" s="13">
        <f t="shared" si="2"/>
        <v>147</v>
      </c>
      <c r="C150" s="14"/>
      <c r="D150" s="15"/>
      <c r="E150" s="14"/>
      <c r="F150" s="15"/>
    </row>
    <row r="151" spans="2:6" ht="30" hidden="1" customHeight="1" outlineLevel="3" x14ac:dyDescent="0.2">
      <c r="B151" s="13">
        <f t="shared" si="2"/>
        <v>148</v>
      </c>
      <c r="C151" s="14"/>
      <c r="D151" s="15"/>
      <c r="E151" s="14"/>
      <c r="F151" s="15"/>
    </row>
    <row r="152" spans="2:6" ht="30" hidden="1" customHeight="1" outlineLevel="3" x14ac:dyDescent="0.2">
      <c r="B152" s="13">
        <f t="shared" si="2"/>
        <v>149</v>
      </c>
      <c r="C152" s="14"/>
      <c r="D152" s="15"/>
      <c r="E152" s="14"/>
      <c r="F152" s="15"/>
    </row>
    <row r="153" spans="2:6" ht="30" hidden="1" customHeight="1" outlineLevel="2" collapsed="1" x14ac:dyDescent="0.2">
      <c r="B153" s="11">
        <f t="shared" si="2"/>
        <v>150</v>
      </c>
      <c r="C153" s="12" t="s">
        <v>301</v>
      </c>
      <c r="D153" s="97" t="s">
        <v>998</v>
      </c>
      <c r="E153" s="17" t="s">
        <v>302</v>
      </c>
      <c r="F153" s="31" t="s">
        <v>1325</v>
      </c>
    </row>
    <row r="154" spans="2:6" ht="30" hidden="1" customHeight="1" outlineLevel="3" x14ac:dyDescent="0.2">
      <c r="B154" s="13">
        <f t="shared" si="2"/>
        <v>151</v>
      </c>
      <c r="C154" s="14"/>
      <c r="D154" s="15"/>
      <c r="E154" s="14"/>
      <c r="F154" s="15"/>
    </row>
    <row r="155" spans="2:6" ht="30" hidden="1" customHeight="1" outlineLevel="3" x14ac:dyDescent="0.2">
      <c r="B155" s="13">
        <f t="shared" si="2"/>
        <v>152</v>
      </c>
      <c r="C155" s="14"/>
      <c r="D155" s="15"/>
      <c r="E155" s="14"/>
      <c r="F155" s="15"/>
    </row>
    <row r="156" spans="2:6" ht="30" hidden="1" customHeight="1" outlineLevel="3" x14ac:dyDescent="0.2">
      <c r="B156" s="13">
        <f t="shared" si="2"/>
        <v>153</v>
      </c>
      <c r="C156" s="14"/>
      <c r="D156" s="15"/>
      <c r="E156" s="14"/>
      <c r="F156" s="15"/>
    </row>
    <row r="157" spans="2:6" ht="30" hidden="1" customHeight="1" outlineLevel="3" x14ac:dyDescent="0.2">
      <c r="B157" s="13">
        <f t="shared" si="2"/>
        <v>154</v>
      </c>
      <c r="C157" s="14"/>
      <c r="D157" s="15"/>
      <c r="E157" s="14"/>
      <c r="F157" s="15"/>
    </row>
    <row r="158" spans="2:6" ht="30" hidden="1" customHeight="1" outlineLevel="2" collapsed="1" x14ac:dyDescent="0.2">
      <c r="B158" s="11">
        <f t="shared" si="2"/>
        <v>155</v>
      </c>
      <c r="C158" s="12" t="s">
        <v>311</v>
      </c>
      <c r="D158" s="97" t="s">
        <v>1000</v>
      </c>
      <c r="E158" s="17" t="s">
        <v>312</v>
      </c>
      <c r="F158" s="31" t="s">
        <v>1325</v>
      </c>
    </row>
    <row r="159" spans="2:6" ht="30" hidden="1" customHeight="1" outlineLevel="3" x14ac:dyDescent="0.2">
      <c r="B159" s="13">
        <f t="shared" si="2"/>
        <v>156</v>
      </c>
      <c r="C159" s="14"/>
      <c r="D159" s="15"/>
      <c r="E159" s="14"/>
      <c r="F159" s="15"/>
    </row>
    <row r="160" spans="2:6" ht="30" hidden="1" customHeight="1" outlineLevel="2" collapsed="1" x14ac:dyDescent="0.2">
      <c r="B160" s="11">
        <f t="shared" si="2"/>
        <v>157</v>
      </c>
      <c r="C160" s="12" t="s">
        <v>315</v>
      </c>
      <c r="D160" s="97" t="s">
        <v>1212</v>
      </c>
      <c r="E160" s="12" t="s">
        <v>316</v>
      </c>
      <c r="F160" s="97" t="s">
        <v>1325</v>
      </c>
    </row>
    <row r="161" spans="2:14" ht="30" customHeight="1" outlineLevel="1" collapsed="1" x14ac:dyDescent="0.2">
      <c r="B161" s="9">
        <f t="shared" si="2"/>
        <v>158</v>
      </c>
      <c r="C161" s="10" t="s">
        <v>317</v>
      </c>
      <c r="D161" s="67" t="s">
        <v>983</v>
      </c>
      <c r="E161" s="10" t="s">
        <v>318</v>
      </c>
      <c r="F161" s="67" t="s">
        <v>1325</v>
      </c>
      <c r="G161" s="4" t="str" cm="1">
        <f t="array" ref="G161:N161">TRANSPOSE(_xlfn._xlws.FILTER(D162:D276,D162:D276 &lt;&gt; ""))</f>
        <v>D3010. Energy Supply - Energi forsyning</v>
      </c>
      <c r="H161" s="4" t="str">
        <v>D3020. Heat Generating System - Varmeinstallationer</v>
      </c>
      <c r="I161" s="4" t="str">
        <v>D3030. Cooling Generating System - kølesystem</v>
      </c>
      <c r="J161" s="4" t="str">
        <v>D3040. Distribution System - Ventilation</v>
      </c>
      <c r="K161" s="4" t="str">
        <v>D3050. Terminal &amp; Package Units</v>
      </c>
      <c r="L161" s="4" t="str">
        <v>D3060. Controls &amp; Instrumentation - Kontrol &amp; Instrumentation</v>
      </c>
      <c r="M161" s="4" t="str">
        <v>D3070. Special HVAC Systems &amp; Equipment - Speciel VVS Systemer &amp; Inventar</v>
      </c>
      <c r="N161" s="4" t="str">
        <v>D3080. Systems Testing &amp; Balancing - Systemer test &amp; Afbalancering</v>
      </c>
    </row>
    <row r="162" spans="2:14" ht="30" hidden="1" customHeight="1" outlineLevel="2" x14ac:dyDescent="0.2">
      <c r="B162" s="11">
        <f t="shared" si="2"/>
        <v>159</v>
      </c>
      <c r="C162" s="12" t="s">
        <v>319</v>
      </c>
      <c r="D162" s="97" t="s">
        <v>1304</v>
      </c>
      <c r="E162" s="23" t="s">
        <v>320</v>
      </c>
      <c r="F162" s="103" t="s">
        <v>1325</v>
      </c>
    </row>
    <row r="163" spans="2:14" ht="30" hidden="1" customHeight="1" outlineLevel="2" x14ac:dyDescent="0.2">
      <c r="B163" s="11">
        <f t="shared" si="2"/>
        <v>160</v>
      </c>
      <c r="C163" s="12" t="s">
        <v>321</v>
      </c>
      <c r="D163" s="97" t="s">
        <v>1019</v>
      </c>
      <c r="E163" s="12" t="s">
        <v>322</v>
      </c>
      <c r="F163" s="97" t="s">
        <v>1325</v>
      </c>
    </row>
    <row r="164" spans="2:14" ht="30" hidden="1" customHeight="1" outlineLevel="3" x14ac:dyDescent="0.2">
      <c r="B164" s="13">
        <f t="shared" si="2"/>
        <v>161</v>
      </c>
      <c r="C164" s="14"/>
      <c r="D164" s="15"/>
      <c r="E164" s="14"/>
      <c r="F164" s="15"/>
    </row>
    <row r="165" spans="2:14" ht="30" hidden="1" customHeight="1" outlineLevel="3" x14ac:dyDescent="0.2">
      <c r="B165" s="13">
        <f t="shared" si="2"/>
        <v>162</v>
      </c>
      <c r="C165" s="14"/>
      <c r="D165" s="15"/>
      <c r="E165" s="14"/>
      <c r="F165" s="15"/>
    </row>
    <row r="166" spans="2:14" ht="30" hidden="1" customHeight="1" outlineLevel="4" x14ac:dyDescent="0.2">
      <c r="B166" s="33">
        <f t="shared" si="2"/>
        <v>163</v>
      </c>
      <c r="C166" s="34"/>
      <c r="D166" s="41"/>
      <c r="E166" s="35"/>
      <c r="F166" s="53"/>
    </row>
    <row r="167" spans="2:14" ht="30" hidden="1" customHeight="1" outlineLevel="4" x14ac:dyDescent="0.2">
      <c r="B167" s="36">
        <f t="shared" si="2"/>
        <v>164</v>
      </c>
      <c r="C167" s="37"/>
      <c r="D167" s="101"/>
      <c r="E167" s="37"/>
      <c r="F167" s="101"/>
    </row>
    <row r="168" spans="2:14" ht="30" hidden="1" customHeight="1" outlineLevel="4" x14ac:dyDescent="0.2">
      <c r="B168" s="33">
        <f t="shared" si="2"/>
        <v>165</v>
      </c>
      <c r="C168" s="34"/>
      <c r="D168" s="41"/>
      <c r="E168" s="34"/>
      <c r="F168" s="41"/>
    </row>
    <row r="169" spans="2:14" ht="30" hidden="1" customHeight="1" outlineLevel="3" collapsed="1" x14ac:dyDescent="0.2">
      <c r="B169" s="13">
        <f t="shared" si="2"/>
        <v>166</v>
      </c>
      <c r="C169" s="14"/>
      <c r="D169" s="15"/>
      <c r="E169" s="14"/>
      <c r="F169" s="15"/>
    </row>
    <row r="170" spans="2:14" ht="30" hidden="1" customHeight="1" outlineLevel="4" x14ac:dyDescent="0.2">
      <c r="B170" s="33">
        <f t="shared" si="2"/>
        <v>167</v>
      </c>
      <c r="C170" s="34"/>
      <c r="D170" s="41"/>
      <c r="E170" s="34"/>
      <c r="F170" s="41"/>
    </row>
    <row r="171" spans="2:14" ht="30" hidden="1" customHeight="1" outlineLevel="4" x14ac:dyDescent="0.2">
      <c r="B171" s="33">
        <f t="shared" si="2"/>
        <v>168</v>
      </c>
      <c r="C171" s="34"/>
      <c r="D171" s="41"/>
      <c r="E171" s="34"/>
      <c r="F171" s="41"/>
    </row>
    <row r="172" spans="2:14" ht="30" hidden="1" customHeight="1" outlineLevel="4" x14ac:dyDescent="0.2">
      <c r="B172" s="33">
        <f t="shared" si="2"/>
        <v>169</v>
      </c>
      <c r="C172" s="34"/>
      <c r="D172" s="41"/>
      <c r="E172" s="34"/>
      <c r="F172" s="41"/>
    </row>
    <row r="173" spans="2:14" ht="30" hidden="1" customHeight="1" outlineLevel="2" collapsed="1" x14ac:dyDescent="0.2">
      <c r="B173" s="11">
        <f t="shared" si="2"/>
        <v>170</v>
      </c>
      <c r="C173" s="12" t="s">
        <v>341</v>
      </c>
      <c r="D173" s="97" t="s">
        <v>1015</v>
      </c>
      <c r="E173" s="17" t="s">
        <v>342</v>
      </c>
      <c r="F173" s="31" t="s">
        <v>1325</v>
      </c>
    </row>
    <row r="174" spans="2:14" ht="30" hidden="1" customHeight="1" outlineLevel="3" x14ac:dyDescent="0.2">
      <c r="B174" s="13">
        <f t="shared" si="2"/>
        <v>171</v>
      </c>
      <c r="C174" s="14"/>
      <c r="D174" s="15"/>
      <c r="E174" s="14"/>
      <c r="F174" s="15"/>
    </row>
    <row r="175" spans="2:14" ht="30" hidden="1" customHeight="1" outlineLevel="3" x14ac:dyDescent="0.2">
      <c r="B175" s="13">
        <f t="shared" si="2"/>
        <v>172</v>
      </c>
      <c r="C175" s="14"/>
      <c r="D175" s="15"/>
      <c r="E175" s="14"/>
      <c r="F175" s="15"/>
    </row>
    <row r="176" spans="2:14" ht="30" hidden="1" customHeight="1" outlineLevel="4" x14ac:dyDescent="0.2">
      <c r="B176" s="33">
        <f t="shared" si="2"/>
        <v>173</v>
      </c>
      <c r="C176" s="34"/>
      <c r="D176" s="41"/>
      <c r="E176" s="34"/>
      <c r="F176" s="41"/>
    </row>
    <row r="177" spans="2:6" ht="30" hidden="1" customHeight="1" outlineLevel="4" x14ac:dyDescent="0.2">
      <c r="B177" s="33">
        <f t="shared" si="2"/>
        <v>174</v>
      </c>
      <c r="C177" s="34"/>
      <c r="D177" s="41"/>
      <c r="E177" s="34"/>
      <c r="F177" s="41"/>
    </row>
    <row r="178" spans="2:6" ht="30" hidden="1" customHeight="1" outlineLevel="4" x14ac:dyDescent="0.2">
      <c r="B178" s="33">
        <f t="shared" si="2"/>
        <v>175</v>
      </c>
      <c r="C178" s="34"/>
      <c r="D178" s="41"/>
      <c r="E178" s="34"/>
      <c r="F178" s="41"/>
    </row>
    <row r="179" spans="2:6" ht="30" hidden="1" customHeight="1" outlineLevel="4" x14ac:dyDescent="0.2">
      <c r="B179" s="33">
        <f t="shared" si="2"/>
        <v>176</v>
      </c>
      <c r="C179" s="34"/>
      <c r="D179" s="41"/>
      <c r="E179" s="34"/>
      <c r="F179" s="41"/>
    </row>
    <row r="180" spans="2:6" ht="30" hidden="1" customHeight="1" outlineLevel="4" x14ac:dyDescent="0.2">
      <c r="B180" s="33">
        <f t="shared" si="2"/>
        <v>177</v>
      </c>
      <c r="C180" s="34"/>
      <c r="D180" s="41"/>
      <c r="E180" s="34"/>
      <c r="F180" s="41"/>
    </row>
    <row r="181" spans="2:6" ht="30" hidden="1" customHeight="1" outlineLevel="4" x14ac:dyDescent="0.2">
      <c r="B181" s="33">
        <f t="shared" si="2"/>
        <v>178</v>
      </c>
      <c r="C181" s="34"/>
      <c r="D181" s="41"/>
      <c r="E181" s="38"/>
      <c r="F181" s="109"/>
    </row>
    <row r="182" spans="2:6" ht="30" hidden="1" customHeight="1" outlineLevel="4" x14ac:dyDescent="0.2">
      <c r="B182" s="33">
        <f t="shared" si="2"/>
        <v>179</v>
      </c>
      <c r="C182" s="34"/>
      <c r="D182" s="41"/>
      <c r="E182" s="34"/>
      <c r="F182" s="41"/>
    </row>
    <row r="183" spans="2:6" ht="30" hidden="1" customHeight="1" outlineLevel="3" collapsed="1" x14ac:dyDescent="0.2">
      <c r="B183" s="13">
        <f t="shared" si="2"/>
        <v>180</v>
      </c>
      <c r="C183" s="14"/>
      <c r="D183" s="15"/>
      <c r="E183" s="14"/>
      <c r="F183" s="15"/>
    </row>
    <row r="184" spans="2:6" ht="30" hidden="1" customHeight="1" outlineLevel="2" collapsed="1" x14ac:dyDescent="0.2">
      <c r="B184" s="11">
        <f t="shared" si="2"/>
        <v>181</v>
      </c>
      <c r="C184" s="12" t="s">
        <v>363</v>
      </c>
      <c r="D184" s="97" t="s">
        <v>1035</v>
      </c>
      <c r="E184" s="12" t="s">
        <v>364</v>
      </c>
      <c r="F184" s="97" t="s">
        <v>1328</v>
      </c>
    </row>
    <row r="185" spans="2:6" ht="30" hidden="1" customHeight="1" outlineLevel="3" x14ac:dyDescent="0.2">
      <c r="B185" s="13">
        <f t="shared" si="2"/>
        <v>182</v>
      </c>
      <c r="C185" s="14"/>
      <c r="D185" s="15"/>
      <c r="E185" s="14"/>
      <c r="F185" s="15"/>
    </row>
    <row r="186" spans="2:6" ht="30" hidden="1" customHeight="1" outlineLevel="3" x14ac:dyDescent="0.2">
      <c r="B186" s="13">
        <f t="shared" si="2"/>
        <v>183</v>
      </c>
      <c r="C186" s="14"/>
      <c r="D186" s="15"/>
      <c r="E186" s="14"/>
      <c r="F186" s="15"/>
    </row>
    <row r="187" spans="2:6" ht="30" hidden="1" customHeight="1" outlineLevel="3" x14ac:dyDescent="0.2">
      <c r="B187" s="13">
        <f t="shared" si="2"/>
        <v>184</v>
      </c>
      <c r="C187" s="14"/>
      <c r="D187" s="15"/>
      <c r="E187" s="14"/>
      <c r="F187" s="15"/>
    </row>
    <row r="188" spans="2:6" ht="30" hidden="1" customHeight="1" outlineLevel="3" x14ac:dyDescent="0.2">
      <c r="B188" s="13">
        <f t="shared" si="2"/>
        <v>185</v>
      </c>
      <c r="C188" s="14"/>
      <c r="D188" s="15"/>
      <c r="E188" s="14"/>
      <c r="F188" s="15"/>
    </row>
    <row r="189" spans="2:6" ht="30" hidden="1" customHeight="1" outlineLevel="3" x14ac:dyDescent="0.2">
      <c r="B189" s="13">
        <f t="shared" si="2"/>
        <v>186</v>
      </c>
      <c r="C189" s="14"/>
      <c r="D189" s="15"/>
      <c r="E189" s="14"/>
      <c r="F189" s="15"/>
    </row>
    <row r="190" spans="2:6" ht="30" hidden="1" customHeight="1" outlineLevel="3" x14ac:dyDescent="0.2">
      <c r="B190" s="13">
        <f t="shared" si="2"/>
        <v>187</v>
      </c>
      <c r="C190" s="14"/>
      <c r="D190" s="15"/>
      <c r="E190" s="14"/>
      <c r="F190" s="15"/>
    </row>
    <row r="191" spans="2:6" ht="30" hidden="1" customHeight="1" outlineLevel="3" x14ac:dyDescent="0.2">
      <c r="B191" s="13">
        <f t="shared" si="2"/>
        <v>188</v>
      </c>
      <c r="C191" s="14"/>
      <c r="D191" s="15"/>
      <c r="E191" s="14"/>
      <c r="F191" s="15"/>
    </row>
    <row r="192" spans="2:6" ht="30" hidden="1" customHeight="1" outlineLevel="3" x14ac:dyDescent="0.2">
      <c r="B192" s="13">
        <f t="shared" si="2"/>
        <v>189</v>
      </c>
      <c r="C192" s="14"/>
      <c r="D192" s="15"/>
      <c r="E192" s="14"/>
      <c r="F192" s="15"/>
    </row>
    <row r="193" spans="2:6" ht="30" hidden="1" customHeight="1" outlineLevel="3" x14ac:dyDescent="0.2">
      <c r="B193" s="13">
        <f t="shared" si="2"/>
        <v>190</v>
      </c>
      <c r="C193" s="14"/>
      <c r="D193" s="15"/>
      <c r="E193" s="14"/>
      <c r="F193" s="15"/>
    </row>
    <row r="194" spans="2:6" ht="30" hidden="1" customHeight="1" outlineLevel="3" x14ac:dyDescent="0.2">
      <c r="B194" s="13">
        <f t="shared" si="2"/>
        <v>191</v>
      </c>
      <c r="C194" s="14"/>
      <c r="D194" s="15"/>
      <c r="E194" s="14"/>
      <c r="F194" s="15"/>
    </row>
    <row r="195" spans="2:6" ht="30" hidden="1" customHeight="1" outlineLevel="3" x14ac:dyDescent="0.2">
      <c r="B195" s="13">
        <f t="shared" si="2"/>
        <v>192</v>
      </c>
      <c r="C195" s="14"/>
      <c r="D195" s="15"/>
      <c r="E195" s="14"/>
      <c r="F195" s="15"/>
    </row>
    <row r="196" spans="2:6" ht="30" hidden="1" customHeight="1" outlineLevel="3" x14ac:dyDescent="0.2">
      <c r="B196" s="13">
        <f t="shared" si="2"/>
        <v>193</v>
      </c>
      <c r="C196" s="14"/>
      <c r="D196" s="15"/>
      <c r="E196" s="14"/>
      <c r="F196" s="15"/>
    </row>
    <row r="197" spans="2:6" ht="30" hidden="1" customHeight="1" outlineLevel="3" x14ac:dyDescent="0.2">
      <c r="B197" s="13">
        <f t="shared" si="2"/>
        <v>194</v>
      </c>
      <c r="C197" s="14"/>
      <c r="D197" s="15"/>
      <c r="E197" s="14"/>
      <c r="F197" s="15"/>
    </row>
    <row r="198" spans="2:6" ht="30" hidden="1" customHeight="1" outlineLevel="3" x14ac:dyDescent="0.2">
      <c r="B198" s="13">
        <f t="shared" ref="B198:B261" si="3">B197+1</f>
        <v>195</v>
      </c>
      <c r="C198" s="14"/>
      <c r="D198" s="15"/>
      <c r="E198" s="14"/>
      <c r="F198" s="15"/>
    </row>
    <row r="199" spans="2:6" ht="30" hidden="1" customHeight="1" outlineLevel="3" x14ac:dyDescent="0.2">
      <c r="B199" s="13">
        <f t="shared" si="3"/>
        <v>196</v>
      </c>
      <c r="C199" s="14"/>
      <c r="D199" s="15"/>
      <c r="E199" s="14"/>
      <c r="F199" s="15"/>
    </row>
    <row r="200" spans="2:6" ht="30" hidden="1" customHeight="1" outlineLevel="3" x14ac:dyDescent="0.2">
      <c r="B200" s="13">
        <f t="shared" si="3"/>
        <v>197</v>
      </c>
      <c r="C200" s="14"/>
      <c r="D200" s="15"/>
      <c r="E200" s="14"/>
      <c r="F200" s="15"/>
    </row>
    <row r="201" spans="2:6" ht="30" hidden="1" customHeight="1" outlineLevel="3" x14ac:dyDescent="0.2">
      <c r="B201" s="13">
        <f t="shared" si="3"/>
        <v>198</v>
      </c>
      <c r="C201" s="14"/>
      <c r="D201" s="15"/>
      <c r="E201" s="14"/>
      <c r="F201" s="15"/>
    </row>
    <row r="202" spans="2:6" ht="30" hidden="1" customHeight="1" outlineLevel="3" x14ac:dyDescent="0.2">
      <c r="B202" s="13">
        <f t="shared" si="3"/>
        <v>199</v>
      </c>
      <c r="C202" s="14"/>
      <c r="D202" s="15"/>
      <c r="E202" s="14"/>
      <c r="F202" s="15"/>
    </row>
    <row r="203" spans="2:6" ht="30" hidden="1" customHeight="1" outlineLevel="3" x14ac:dyDescent="0.2">
      <c r="B203" s="13">
        <f t="shared" si="3"/>
        <v>200</v>
      </c>
      <c r="C203" s="14"/>
      <c r="D203" s="15"/>
      <c r="E203" s="14"/>
      <c r="F203" s="15"/>
    </row>
    <row r="204" spans="2:6" ht="30" hidden="1" customHeight="1" outlineLevel="3" x14ac:dyDescent="0.2">
      <c r="B204" s="13">
        <f t="shared" si="3"/>
        <v>201</v>
      </c>
      <c r="C204" s="14"/>
      <c r="D204" s="15"/>
      <c r="E204" s="14"/>
      <c r="F204" s="15"/>
    </row>
    <row r="205" spans="2:6" ht="30" hidden="1" customHeight="1" outlineLevel="3" x14ac:dyDescent="0.2">
      <c r="B205" s="13">
        <f t="shared" si="3"/>
        <v>202</v>
      </c>
      <c r="C205" s="14"/>
      <c r="D205" s="15"/>
      <c r="E205" s="39"/>
      <c r="F205" s="15"/>
    </row>
    <row r="206" spans="2:6" ht="30" hidden="1" customHeight="1" outlineLevel="3" x14ac:dyDescent="0.2">
      <c r="B206" s="13">
        <f t="shared" si="3"/>
        <v>203</v>
      </c>
      <c r="C206" s="14"/>
      <c r="D206" s="15"/>
      <c r="E206" s="39"/>
      <c r="F206" s="15"/>
    </row>
    <row r="207" spans="2:6" ht="30" hidden="1" customHeight="1" outlineLevel="3" x14ac:dyDescent="0.2">
      <c r="B207" s="13">
        <f t="shared" si="3"/>
        <v>204</v>
      </c>
      <c r="C207" s="14"/>
      <c r="D207" s="15"/>
      <c r="E207" s="39"/>
      <c r="F207" s="15"/>
    </row>
    <row r="208" spans="2:6" ht="30" hidden="1" customHeight="1" outlineLevel="3" x14ac:dyDescent="0.2">
      <c r="B208" s="13">
        <f t="shared" si="3"/>
        <v>205</v>
      </c>
      <c r="C208" s="14"/>
      <c r="D208" s="15"/>
      <c r="E208" s="14"/>
      <c r="F208" s="15"/>
    </row>
    <row r="209" spans="2:6" ht="30" hidden="1" customHeight="1" outlineLevel="2" collapsed="1" x14ac:dyDescent="0.2">
      <c r="B209" s="11">
        <f>B208+1</f>
        <v>206</v>
      </c>
      <c r="C209" s="12" t="s">
        <v>413</v>
      </c>
      <c r="D209" s="97" t="s">
        <v>1306</v>
      </c>
      <c r="E209" s="17" t="s">
        <v>414</v>
      </c>
      <c r="F209" s="31" t="s">
        <v>1325</v>
      </c>
    </row>
    <row r="210" spans="2:6" ht="30" hidden="1" customHeight="1" outlineLevel="2" x14ac:dyDescent="0.2">
      <c r="B210" s="11">
        <f t="shared" si="3"/>
        <v>207</v>
      </c>
      <c r="C210" s="12" t="s">
        <v>415</v>
      </c>
      <c r="D210" s="97" t="s">
        <v>984</v>
      </c>
      <c r="E210" s="12" t="s">
        <v>416</v>
      </c>
      <c r="F210" s="97" t="s">
        <v>1329</v>
      </c>
    </row>
    <row r="211" spans="2:6" ht="30" hidden="1" customHeight="1" outlineLevel="3" x14ac:dyDescent="0.2">
      <c r="B211" s="13">
        <f t="shared" si="3"/>
        <v>208</v>
      </c>
      <c r="C211" s="14"/>
      <c r="D211" s="15"/>
      <c r="E211" s="14"/>
      <c r="F211" s="15"/>
    </row>
    <row r="212" spans="2:6" ht="30" hidden="1" customHeight="1" outlineLevel="3" x14ac:dyDescent="0.2">
      <c r="B212" s="13">
        <f t="shared" si="3"/>
        <v>209</v>
      </c>
      <c r="C212" s="14"/>
      <c r="D212" s="15"/>
      <c r="E212" s="14"/>
      <c r="F212" s="15"/>
    </row>
    <row r="213" spans="2:6" ht="30" hidden="1" customHeight="1" outlineLevel="3" x14ac:dyDescent="0.2">
      <c r="B213" s="13">
        <f t="shared" si="3"/>
        <v>210</v>
      </c>
      <c r="C213" s="14"/>
      <c r="D213" s="15"/>
      <c r="E213" s="14"/>
      <c r="F213" s="15"/>
    </row>
    <row r="214" spans="2:6" ht="30" hidden="1" customHeight="1" outlineLevel="3" x14ac:dyDescent="0.2">
      <c r="B214" s="13">
        <f t="shared" si="3"/>
        <v>211</v>
      </c>
      <c r="C214" s="14"/>
      <c r="D214" s="15"/>
      <c r="E214" s="14"/>
      <c r="F214" s="15"/>
    </row>
    <row r="215" spans="2:6" ht="30" hidden="1" customHeight="1" outlineLevel="3" x14ac:dyDescent="0.2">
      <c r="B215" s="13">
        <f t="shared" si="3"/>
        <v>212</v>
      </c>
      <c r="C215" s="14"/>
      <c r="D215" s="15"/>
      <c r="E215" s="14"/>
      <c r="F215" s="15"/>
    </row>
    <row r="216" spans="2:6" ht="30" hidden="1" customHeight="1" outlineLevel="3" x14ac:dyDescent="0.2">
      <c r="B216" s="13">
        <f t="shared" si="3"/>
        <v>213</v>
      </c>
      <c r="C216" s="14"/>
      <c r="D216" s="15"/>
      <c r="E216" s="14"/>
      <c r="F216" s="15"/>
    </row>
    <row r="217" spans="2:6" ht="30" hidden="1" customHeight="1" outlineLevel="3" x14ac:dyDescent="0.2">
      <c r="B217" s="13">
        <f t="shared" si="3"/>
        <v>214</v>
      </c>
      <c r="C217" s="14"/>
      <c r="D217" s="15"/>
      <c r="E217" s="14"/>
      <c r="F217" s="15"/>
    </row>
    <row r="218" spans="2:6" ht="30" hidden="1" customHeight="1" outlineLevel="3" x14ac:dyDescent="0.2">
      <c r="B218" s="13">
        <f t="shared" si="3"/>
        <v>215</v>
      </c>
      <c r="C218" s="14"/>
      <c r="D218" s="15"/>
      <c r="E218" s="14"/>
      <c r="F218" s="15"/>
    </row>
    <row r="219" spans="2:6" ht="30" hidden="1" customHeight="1" outlineLevel="3" x14ac:dyDescent="0.2">
      <c r="B219" s="13">
        <f t="shared" si="3"/>
        <v>216</v>
      </c>
      <c r="C219" s="14"/>
      <c r="D219" s="15"/>
      <c r="E219" s="14"/>
      <c r="F219" s="15"/>
    </row>
    <row r="220" spans="2:6" ht="30" hidden="1" customHeight="1" outlineLevel="3" x14ac:dyDescent="0.2">
      <c r="B220" s="13">
        <f t="shared" si="3"/>
        <v>217</v>
      </c>
      <c r="C220" s="14"/>
      <c r="D220" s="15"/>
      <c r="E220" s="14"/>
      <c r="F220" s="15"/>
    </row>
    <row r="221" spans="2:6" ht="30" hidden="1" customHeight="1" outlineLevel="3" x14ac:dyDescent="0.2">
      <c r="B221" s="13">
        <f t="shared" si="3"/>
        <v>218</v>
      </c>
      <c r="C221" s="14"/>
      <c r="D221" s="15"/>
      <c r="E221" s="14"/>
      <c r="F221" s="15"/>
    </row>
    <row r="222" spans="2:6" ht="30" hidden="1" customHeight="1" outlineLevel="3" x14ac:dyDescent="0.2">
      <c r="B222" s="13">
        <f t="shared" si="3"/>
        <v>219</v>
      </c>
      <c r="C222" s="14"/>
      <c r="D222" s="15"/>
      <c r="E222" s="14"/>
      <c r="F222" s="15"/>
    </row>
    <row r="223" spans="2:6" ht="30" hidden="1" customHeight="1" outlineLevel="3" x14ac:dyDescent="0.2">
      <c r="B223" s="13">
        <f t="shared" si="3"/>
        <v>220</v>
      </c>
      <c r="C223" s="14"/>
      <c r="D223" s="15"/>
      <c r="E223" s="40"/>
      <c r="F223" s="106"/>
    </row>
    <row r="224" spans="2:6" ht="30" hidden="1" customHeight="1" outlineLevel="3" x14ac:dyDescent="0.2">
      <c r="B224" s="13">
        <f t="shared" si="3"/>
        <v>221</v>
      </c>
      <c r="C224" s="14"/>
      <c r="D224" s="15"/>
      <c r="E224" s="40"/>
      <c r="F224" s="106"/>
    </row>
    <row r="225" spans="2:6" ht="30" hidden="1" customHeight="1" outlineLevel="3" x14ac:dyDescent="0.2">
      <c r="B225" s="13">
        <f t="shared" si="3"/>
        <v>222</v>
      </c>
      <c r="C225" s="14"/>
      <c r="D225" s="15"/>
      <c r="E225" s="40"/>
      <c r="F225" s="106"/>
    </row>
    <row r="226" spans="2:6" ht="30" hidden="1" customHeight="1" outlineLevel="3" x14ac:dyDescent="0.2">
      <c r="B226" s="13">
        <f t="shared" si="3"/>
        <v>223</v>
      </c>
      <c r="C226" s="14"/>
      <c r="D226" s="15"/>
      <c r="E226" s="40"/>
      <c r="F226" s="106"/>
    </row>
    <row r="227" spans="2:6" ht="30" hidden="1" customHeight="1" outlineLevel="3" x14ac:dyDescent="0.2">
      <c r="B227" s="13">
        <f t="shared" si="3"/>
        <v>224</v>
      </c>
      <c r="C227" s="14"/>
      <c r="D227" s="15"/>
      <c r="E227" s="40"/>
      <c r="F227" s="106"/>
    </row>
    <row r="228" spans="2:6" ht="30" hidden="1" customHeight="1" outlineLevel="3" x14ac:dyDescent="0.2">
      <c r="B228" s="13">
        <f t="shared" si="3"/>
        <v>225</v>
      </c>
      <c r="C228" s="14"/>
      <c r="D228" s="15"/>
      <c r="E228" s="40"/>
      <c r="F228" s="106"/>
    </row>
    <row r="229" spans="2:6" ht="30" hidden="1" customHeight="1" outlineLevel="2" collapsed="1" x14ac:dyDescent="0.2">
      <c r="B229" s="11">
        <f t="shared" si="3"/>
        <v>226</v>
      </c>
      <c r="C229" s="12" t="s">
        <v>453</v>
      </c>
      <c r="D229" s="97" t="s">
        <v>1011</v>
      </c>
      <c r="E229" s="12" t="s">
        <v>454</v>
      </c>
      <c r="F229" s="97" t="s">
        <v>1325</v>
      </c>
    </row>
    <row r="230" spans="2:6" ht="30" hidden="1" customHeight="1" outlineLevel="3" x14ac:dyDescent="0.2">
      <c r="B230" s="13">
        <f t="shared" si="3"/>
        <v>227</v>
      </c>
      <c r="C230" s="14"/>
      <c r="D230" s="15"/>
      <c r="E230" s="14"/>
      <c r="F230" s="15"/>
    </row>
    <row r="231" spans="2:6" ht="30" hidden="1" customHeight="1" outlineLevel="4" x14ac:dyDescent="0.2">
      <c r="B231" s="33">
        <f t="shared" si="3"/>
        <v>228</v>
      </c>
      <c r="C231" s="34"/>
      <c r="D231" s="41"/>
      <c r="E231" s="34"/>
      <c r="F231" s="41"/>
    </row>
    <row r="232" spans="2:6" ht="30" hidden="1" customHeight="1" outlineLevel="4" x14ac:dyDescent="0.2">
      <c r="B232" s="33">
        <f t="shared" si="3"/>
        <v>229</v>
      </c>
      <c r="C232" s="34"/>
      <c r="D232" s="41"/>
      <c r="E232" s="41"/>
      <c r="F232" s="41"/>
    </row>
    <row r="233" spans="2:6" ht="30" hidden="1" customHeight="1" outlineLevel="4" x14ac:dyDescent="0.2">
      <c r="B233" s="33">
        <f t="shared" si="3"/>
        <v>230</v>
      </c>
      <c r="C233" s="34"/>
      <c r="D233" s="41"/>
      <c r="E233" s="41"/>
      <c r="F233" s="41"/>
    </row>
    <row r="234" spans="2:6" ht="30" hidden="1" customHeight="1" outlineLevel="4" x14ac:dyDescent="0.2">
      <c r="B234" s="33">
        <f t="shared" si="3"/>
        <v>231</v>
      </c>
      <c r="C234" s="34"/>
      <c r="D234" s="41"/>
      <c r="E234" s="34"/>
      <c r="F234" s="41"/>
    </row>
    <row r="235" spans="2:6" ht="30" hidden="1" customHeight="1" outlineLevel="4" x14ac:dyDescent="0.2">
      <c r="B235" s="33">
        <f t="shared" si="3"/>
        <v>232</v>
      </c>
      <c r="C235" s="34"/>
      <c r="D235" s="41"/>
      <c r="E235" s="34"/>
      <c r="F235" s="41"/>
    </row>
    <row r="236" spans="2:6" ht="30" hidden="1" customHeight="1" outlineLevel="4" x14ac:dyDescent="0.2">
      <c r="B236" s="33">
        <f t="shared" si="3"/>
        <v>233</v>
      </c>
      <c r="C236" s="34"/>
      <c r="D236" s="41"/>
      <c r="E236" s="34"/>
      <c r="F236" s="41"/>
    </row>
    <row r="237" spans="2:6" ht="30" hidden="1" customHeight="1" outlineLevel="4" x14ac:dyDescent="0.2">
      <c r="B237" s="33">
        <f t="shared" si="3"/>
        <v>234</v>
      </c>
      <c r="C237" s="34"/>
      <c r="D237" s="41"/>
      <c r="E237" s="34"/>
      <c r="F237" s="41"/>
    </row>
    <row r="238" spans="2:6" ht="30" hidden="1" customHeight="1" outlineLevel="3" collapsed="1" x14ac:dyDescent="0.2">
      <c r="B238" s="13">
        <f t="shared" si="3"/>
        <v>235</v>
      </c>
      <c r="C238" s="14"/>
      <c r="D238" s="15"/>
      <c r="E238" s="14"/>
      <c r="F238" s="15"/>
    </row>
    <row r="239" spans="2:6" ht="30" hidden="1" customHeight="1" outlineLevel="4" x14ac:dyDescent="0.2">
      <c r="B239" s="33">
        <f t="shared" si="3"/>
        <v>236</v>
      </c>
      <c r="C239" s="34"/>
      <c r="D239" s="41"/>
      <c r="E239" s="34"/>
      <c r="F239" s="41"/>
    </row>
    <row r="240" spans="2:6" ht="30" hidden="1" customHeight="1" outlineLevel="4" x14ac:dyDescent="0.2">
      <c r="B240" s="33">
        <f t="shared" si="3"/>
        <v>237</v>
      </c>
      <c r="C240" s="34"/>
      <c r="D240" s="41"/>
      <c r="E240" s="34"/>
      <c r="F240" s="41"/>
    </row>
    <row r="241" spans="2:6" ht="30" hidden="1" customHeight="1" outlineLevel="4" x14ac:dyDescent="0.2">
      <c r="B241" s="33">
        <f t="shared" si="3"/>
        <v>238</v>
      </c>
      <c r="C241" s="34"/>
      <c r="D241" s="41"/>
      <c r="E241" s="34"/>
      <c r="F241" s="41"/>
    </row>
    <row r="242" spans="2:6" ht="30" hidden="1" customHeight="1" outlineLevel="4" x14ac:dyDescent="0.2">
      <c r="B242" s="33">
        <f t="shared" si="3"/>
        <v>239</v>
      </c>
      <c r="C242" s="34"/>
      <c r="D242" s="41"/>
      <c r="E242" s="34"/>
      <c r="F242" s="41"/>
    </row>
    <row r="243" spans="2:6" ht="30" hidden="1" customHeight="1" outlineLevel="4" x14ac:dyDescent="0.2">
      <c r="B243" s="33">
        <f t="shared" si="3"/>
        <v>240</v>
      </c>
      <c r="C243" s="34"/>
      <c r="D243" s="41"/>
      <c r="E243" s="34"/>
      <c r="F243" s="41"/>
    </row>
    <row r="244" spans="2:6" ht="30" hidden="1" customHeight="1" outlineLevel="4" x14ac:dyDescent="0.2">
      <c r="B244" s="33">
        <f t="shared" si="3"/>
        <v>241</v>
      </c>
      <c r="C244" s="34"/>
      <c r="D244" s="41"/>
      <c r="E244" s="34"/>
      <c r="F244" s="41"/>
    </row>
    <row r="245" spans="2:6" ht="30" hidden="1" customHeight="1" outlineLevel="4" x14ac:dyDescent="0.2">
      <c r="B245" s="33">
        <f t="shared" si="3"/>
        <v>242</v>
      </c>
      <c r="C245" s="34"/>
      <c r="D245" s="41"/>
      <c r="E245" s="34"/>
      <c r="F245" s="41"/>
    </row>
    <row r="246" spans="2:6" ht="30" hidden="1" customHeight="1" outlineLevel="4" x14ac:dyDescent="0.2">
      <c r="B246" s="33">
        <f t="shared" si="3"/>
        <v>243</v>
      </c>
      <c r="C246" s="34"/>
      <c r="D246" s="41"/>
      <c r="E246" s="34"/>
      <c r="F246" s="41"/>
    </row>
    <row r="247" spans="2:6" ht="30" hidden="1" customHeight="1" outlineLevel="4" x14ac:dyDescent="0.2">
      <c r="B247" s="33">
        <f t="shared" si="3"/>
        <v>244</v>
      </c>
      <c r="C247" s="34"/>
      <c r="D247" s="41"/>
      <c r="E247" s="34"/>
      <c r="F247" s="41"/>
    </row>
    <row r="248" spans="2:6" ht="30" hidden="1" customHeight="1" outlineLevel="4" x14ac:dyDescent="0.2">
      <c r="B248" s="33">
        <f t="shared" si="3"/>
        <v>245</v>
      </c>
      <c r="C248" s="34"/>
      <c r="D248" s="41"/>
      <c r="E248" s="34"/>
      <c r="F248" s="41"/>
    </row>
    <row r="249" spans="2:6" ht="30" hidden="1" customHeight="1" outlineLevel="4" x14ac:dyDescent="0.2">
      <c r="B249" s="33">
        <f t="shared" si="3"/>
        <v>246</v>
      </c>
      <c r="C249" s="34"/>
      <c r="D249" s="41"/>
      <c r="E249" s="34"/>
      <c r="F249" s="41"/>
    </row>
    <row r="250" spans="2:6" ht="30" hidden="1" customHeight="1" outlineLevel="4" x14ac:dyDescent="0.2">
      <c r="B250" s="33">
        <f t="shared" si="3"/>
        <v>247</v>
      </c>
      <c r="C250" s="34"/>
      <c r="D250" s="41"/>
      <c r="E250" s="34"/>
      <c r="F250" s="41"/>
    </row>
    <row r="251" spans="2:6" ht="30" hidden="1" customHeight="1" outlineLevel="4" x14ac:dyDescent="0.2">
      <c r="B251" s="33">
        <f t="shared" si="3"/>
        <v>248</v>
      </c>
      <c r="C251" s="34"/>
      <c r="D251" s="41"/>
      <c r="E251" s="34"/>
      <c r="F251" s="41"/>
    </row>
    <row r="252" spans="2:6" ht="30" hidden="1" customHeight="1" outlineLevel="4" x14ac:dyDescent="0.2">
      <c r="B252" s="33">
        <f t="shared" si="3"/>
        <v>249</v>
      </c>
      <c r="C252" s="34"/>
      <c r="D252" s="41"/>
      <c r="E252" s="34"/>
      <c r="F252" s="41"/>
    </row>
    <row r="253" spans="2:6" ht="30" hidden="1" customHeight="1" outlineLevel="4" x14ac:dyDescent="0.2">
      <c r="B253" s="33">
        <f t="shared" si="3"/>
        <v>250</v>
      </c>
      <c r="C253" s="34"/>
      <c r="D253" s="41"/>
      <c r="E253" s="41"/>
      <c r="F253" s="41"/>
    </row>
    <row r="254" spans="2:6" ht="30" hidden="1" customHeight="1" outlineLevel="4" x14ac:dyDescent="0.2">
      <c r="B254" s="33">
        <f t="shared" si="3"/>
        <v>251</v>
      </c>
      <c r="C254" s="34"/>
      <c r="D254" s="41"/>
      <c r="E254" s="41"/>
      <c r="F254" s="41"/>
    </row>
    <row r="255" spans="2:6" ht="30" hidden="1" customHeight="1" outlineLevel="4" x14ac:dyDescent="0.2">
      <c r="B255" s="33">
        <f t="shared" si="3"/>
        <v>252</v>
      </c>
      <c r="C255" s="34"/>
      <c r="D255" s="41"/>
      <c r="E255" s="41"/>
      <c r="F255" s="41"/>
    </row>
    <row r="256" spans="2:6" ht="30" hidden="1" customHeight="1" outlineLevel="3" collapsed="1" x14ac:dyDescent="0.2">
      <c r="B256" s="13">
        <f>B255+1</f>
        <v>253</v>
      </c>
      <c r="C256" s="14"/>
      <c r="D256" s="15"/>
      <c r="E256" s="14"/>
      <c r="F256" s="15"/>
    </row>
    <row r="257" spans="2:6" ht="30" hidden="1" customHeight="1" outlineLevel="4" x14ac:dyDescent="0.2">
      <c r="B257" s="33">
        <f t="shared" si="3"/>
        <v>254</v>
      </c>
      <c r="C257" s="34"/>
      <c r="D257" s="41"/>
      <c r="E257" s="34"/>
      <c r="F257" s="41"/>
    </row>
    <row r="258" spans="2:6" ht="30" hidden="1" customHeight="1" outlineLevel="4" x14ac:dyDescent="0.2">
      <c r="B258" s="33">
        <f t="shared" si="3"/>
        <v>255</v>
      </c>
      <c r="C258" s="34"/>
      <c r="D258" s="41"/>
      <c r="E258" s="34"/>
      <c r="F258" s="41"/>
    </row>
    <row r="259" spans="2:6" ht="30" hidden="1" customHeight="1" outlineLevel="4" x14ac:dyDescent="0.2">
      <c r="B259" s="33">
        <f t="shared" si="3"/>
        <v>256</v>
      </c>
      <c r="C259" s="34"/>
      <c r="D259" s="41"/>
      <c r="E259" s="34"/>
      <c r="F259" s="41"/>
    </row>
    <row r="260" spans="2:6" ht="30" hidden="1" customHeight="1" outlineLevel="4" x14ac:dyDescent="0.2">
      <c r="B260" s="33">
        <f t="shared" si="3"/>
        <v>257</v>
      </c>
      <c r="C260" s="34"/>
      <c r="D260" s="41"/>
      <c r="E260" s="34"/>
      <c r="F260" s="41"/>
    </row>
    <row r="261" spans="2:6" ht="30" hidden="1" customHeight="1" outlineLevel="4" x14ac:dyDescent="0.2">
      <c r="B261" s="33">
        <f t="shared" si="3"/>
        <v>258</v>
      </c>
      <c r="C261" s="34"/>
      <c r="D261" s="41"/>
      <c r="E261" s="34"/>
      <c r="F261" s="41"/>
    </row>
    <row r="262" spans="2:6" ht="30" hidden="1" customHeight="1" outlineLevel="4" x14ac:dyDescent="0.2">
      <c r="B262" s="33">
        <f t="shared" ref="B262:B325" si="4">B261+1</f>
        <v>259</v>
      </c>
      <c r="C262" s="34"/>
      <c r="D262" s="41"/>
      <c r="E262" s="34"/>
      <c r="F262" s="41"/>
    </row>
    <row r="263" spans="2:6" ht="30" hidden="1" customHeight="1" outlineLevel="4" x14ac:dyDescent="0.2">
      <c r="B263" s="33">
        <f t="shared" si="4"/>
        <v>260</v>
      </c>
      <c r="C263" s="34"/>
      <c r="D263" s="41"/>
      <c r="E263" s="34"/>
      <c r="F263" s="41"/>
    </row>
    <row r="264" spans="2:6" ht="30" hidden="1" customHeight="1" outlineLevel="4" x14ac:dyDescent="0.2">
      <c r="B264" s="33">
        <f t="shared" si="4"/>
        <v>261</v>
      </c>
      <c r="C264" s="34"/>
      <c r="D264" s="41"/>
      <c r="E264" s="34"/>
      <c r="F264" s="41"/>
    </row>
    <row r="265" spans="2:6" ht="30" hidden="1" customHeight="1" outlineLevel="4" x14ac:dyDescent="0.2">
      <c r="B265" s="33">
        <f t="shared" si="4"/>
        <v>262</v>
      </c>
      <c r="C265" s="34"/>
      <c r="D265" s="41"/>
      <c r="E265" s="34"/>
      <c r="F265" s="41"/>
    </row>
    <row r="266" spans="2:6" ht="30" hidden="1" customHeight="1" outlineLevel="4" x14ac:dyDescent="0.2">
      <c r="B266" s="33">
        <f t="shared" si="4"/>
        <v>263</v>
      </c>
      <c r="C266" s="34"/>
      <c r="D266" s="41"/>
      <c r="E266" s="34"/>
      <c r="F266" s="41"/>
    </row>
    <row r="267" spans="2:6" ht="30" hidden="1" customHeight="1" outlineLevel="4" x14ac:dyDescent="0.2">
      <c r="B267" s="33">
        <f t="shared" si="4"/>
        <v>264</v>
      </c>
      <c r="C267" s="34"/>
      <c r="D267" s="41"/>
      <c r="E267" s="34"/>
      <c r="F267" s="41"/>
    </row>
    <row r="268" spans="2:6" ht="30" hidden="1" customHeight="1" outlineLevel="4" x14ac:dyDescent="0.2">
      <c r="B268" s="33">
        <f t="shared" si="4"/>
        <v>265</v>
      </c>
      <c r="C268" s="34"/>
      <c r="D268" s="41"/>
      <c r="E268" s="34"/>
      <c r="F268" s="41"/>
    </row>
    <row r="269" spans="2:6" ht="30" hidden="1" customHeight="1" outlineLevel="3" collapsed="1" x14ac:dyDescent="0.2">
      <c r="B269" s="13">
        <f t="shared" si="4"/>
        <v>266</v>
      </c>
      <c r="C269" s="14"/>
      <c r="D269" s="15"/>
      <c r="E269" s="14"/>
      <c r="F269" s="15"/>
    </row>
    <row r="270" spans="2:6" ht="30" hidden="1" customHeight="1" outlineLevel="3" x14ac:dyDescent="0.2">
      <c r="B270" s="13">
        <f t="shared" si="4"/>
        <v>267</v>
      </c>
      <c r="C270" s="14"/>
      <c r="D270" s="15"/>
      <c r="E270" s="14"/>
      <c r="F270" s="15"/>
    </row>
    <row r="271" spans="2:6" ht="30" hidden="1" customHeight="1" outlineLevel="4" x14ac:dyDescent="0.2">
      <c r="B271" s="33">
        <f t="shared" si="4"/>
        <v>268</v>
      </c>
      <c r="C271" s="34"/>
      <c r="D271" s="41"/>
      <c r="E271" s="34"/>
      <c r="F271" s="41"/>
    </row>
    <row r="272" spans="2:6" ht="30" hidden="1" customHeight="1" outlineLevel="4" x14ac:dyDescent="0.2">
      <c r="B272" s="33">
        <f t="shared" si="4"/>
        <v>269</v>
      </c>
      <c r="C272" s="34"/>
      <c r="D272" s="41"/>
      <c r="E272" s="34"/>
      <c r="F272" s="41"/>
    </row>
    <row r="273" spans="2:10" ht="30" hidden="1" customHeight="1" outlineLevel="2" collapsed="1" x14ac:dyDescent="0.2">
      <c r="B273" s="11">
        <f t="shared" si="4"/>
        <v>270</v>
      </c>
      <c r="C273" s="12" t="s">
        <v>541</v>
      </c>
      <c r="D273" s="97" t="s">
        <v>1031</v>
      </c>
      <c r="E273" s="12" t="s">
        <v>542</v>
      </c>
      <c r="F273" s="97" t="s">
        <v>1325</v>
      </c>
    </row>
    <row r="274" spans="2:10" ht="30" hidden="1" customHeight="1" outlineLevel="3" x14ac:dyDescent="0.2">
      <c r="B274" s="13">
        <f t="shared" si="4"/>
        <v>271</v>
      </c>
      <c r="C274" s="14"/>
      <c r="D274" s="15"/>
      <c r="E274" s="14"/>
      <c r="F274" s="15"/>
    </row>
    <row r="275" spans="2:10" ht="30" hidden="1" customHeight="1" outlineLevel="3" x14ac:dyDescent="0.2">
      <c r="B275" s="13">
        <f t="shared" si="4"/>
        <v>272</v>
      </c>
      <c r="C275" s="14"/>
      <c r="D275" s="15"/>
      <c r="E275" s="15"/>
      <c r="F275" s="15"/>
    </row>
    <row r="276" spans="2:10" ht="30" hidden="1" customHeight="1" outlineLevel="3" x14ac:dyDescent="0.2">
      <c r="B276" s="13">
        <f t="shared" si="4"/>
        <v>273</v>
      </c>
      <c r="C276" s="14"/>
      <c r="D276" s="15"/>
      <c r="E276" s="14"/>
      <c r="F276" s="15"/>
    </row>
    <row r="277" spans="2:10" ht="30" customHeight="1" outlineLevel="1" collapsed="1" x14ac:dyDescent="0.2">
      <c r="B277" s="9">
        <f t="shared" si="4"/>
        <v>274</v>
      </c>
      <c r="C277" s="10" t="s">
        <v>549</v>
      </c>
      <c r="D277" s="67" t="s">
        <v>1023</v>
      </c>
      <c r="E277" s="10" t="s">
        <v>550</v>
      </c>
      <c r="F277" s="67" t="s">
        <v>1326</v>
      </c>
      <c r="G277" s="4" t="str" cm="1">
        <f t="array" ref="G277:J277">TRANSPOSE(_xlfn._xlws.FILTER(D278:D287,D278:D287 &lt;&gt; ""))</f>
        <v>D4010. Fire Protection Sprinkler Systems - Brand Sprinkling</v>
      </c>
      <c r="H277" s="4" t="str">
        <v>D4020. Stand-Pipe &amp; Hose Systems - Vandtårn &amp; Slange systemer</v>
      </c>
      <c r="I277" s="4" t="str">
        <v>D4030. Fire Protection Specialties - Brand Specialiteter</v>
      </c>
      <c r="J277" s="4" t="str">
        <v>D4040. Other Fire Protection Systems - Øvrige Brand Systemer</v>
      </c>
    </row>
    <row r="278" spans="2:10" ht="30" hidden="1" customHeight="1" outlineLevel="2" x14ac:dyDescent="0.2">
      <c r="B278" s="11">
        <f t="shared" si="4"/>
        <v>275</v>
      </c>
      <c r="C278" s="12" t="s">
        <v>551</v>
      </c>
      <c r="D278" s="97" t="s">
        <v>1024</v>
      </c>
      <c r="E278" s="23" t="s">
        <v>552</v>
      </c>
      <c r="F278" s="103" t="s">
        <v>1326</v>
      </c>
    </row>
    <row r="279" spans="2:10" ht="30" hidden="1" customHeight="1" outlineLevel="3" x14ac:dyDescent="0.2">
      <c r="B279" s="13">
        <f t="shared" si="4"/>
        <v>276</v>
      </c>
      <c r="C279" s="14"/>
      <c r="D279" s="15"/>
      <c r="E279" s="14"/>
      <c r="F279" s="15"/>
    </row>
    <row r="280" spans="2:10" ht="30" hidden="1" customHeight="1" outlineLevel="3" x14ac:dyDescent="0.2">
      <c r="B280" s="13">
        <f t="shared" si="4"/>
        <v>277</v>
      </c>
      <c r="C280" s="14"/>
      <c r="D280" s="15"/>
      <c r="E280" s="15"/>
      <c r="F280" s="15"/>
    </row>
    <row r="281" spans="2:10" ht="30" hidden="1" customHeight="1" outlineLevel="3" x14ac:dyDescent="0.2">
      <c r="B281" s="13">
        <f t="shared" si="4"/>
        <v>278</v>
      </c>
      <c r="C281" s="14"/>
      <c r="D281" s="15"/>
      <c r="E281" s="14"/>
      <c r="F281" s="15"/>
    </row>
    <row r="282" spans="2:10" ht="30" hidden="1" customHeight="1" outlineLevel="3" x14ac:dyDescent="0.2">
      <c r="B282" s="13">
        <f t="shared" si="4"/>
        <v>279</v>
      </c>
      <c r="C282" s="14"/>
      <c r="D282" s="15"/>
      <c r="E282" s="14"/>
      <c r="F282" s="15"/>
    </row>
    <row r="283" spans="2:10" ht="30" hidden="1" customHeight="1" outlineLevel="3" x14ac:dyDescent="0.2">
      <c r="B283" s="13">
        <f t="shared" si="4"/>
        <v>280</v>
      </c>
      <c r="C283" s="14"/>
      <c r="D283" s="15"/>
      <c r="E283" s="15"/>
      <c r="F283" s="15"/>
    </row>
    <row r="284" spans="2:10" ht="30" hidden="1" customHeight="1" outlineLevel="3" x14ac:dyDescent="0.2">
      <c r="B284" s="13">
        <f t="shared" si="4"/>
        <v>281</v>
      </c>
      <c r="C284" s="14"/>
      <c r="D284" s="15"/>
      <c r="E284" s="15"/>
      <c r="F284" s="15"/>
    </row>
    <row r="285" spans="2:10" ht="30" hidden="1" customHeight="1" outlineLevel="2" collapsed="1" x14ac:dyDescent="0.2">
      <c r="B285" s="11">
        <f t="shared" si="4"/>
        <v>282</v>
      </c>
      <c r="C285" s="12" t="s">
        <v>565</v>
      </c>
      <c r="D285" s="97" t="s">
        <v>1207</v>
      </c>
      <c r="E285" s="23" t="s">
        <v>566</v>
      </c>
      <c r="F285" s="103" t="s">
        <v>1326</v>
      </c>
    </row>
    <row r="286" spans="2:10" ht="30" hidden="1" customHeight="1" outlineLevel="2" x14ac:dyDescent="0.2">
      <c r="B286" s="11">
        <f t="shared" si="4"/>
        <v>283</v>
      </c>
      <c r="C286" s="12" t="s">
        <v>567</v>
      </c>
      <c r="D286" s="97" t="s">
        <v>1307</v>
      </c>
      <c r="E286" s="12" t="s">
        <v>568</v>
      </c>
      <c r="F286" s="97" t="s">
        <v>1326</v>
      </c>
    </row>
    <row r="287" spans="2:10" ht="30" hidden="1" customHeight="1" outlineLevel="2" x14ac:dyDescent="0.2">
      <c r="B287" s="11">
        <f t="shared" si="4"/>
        <v>284</v>
      </c>
      <c r="C287" s="12" t="s">
        <v>569</v>
      </c>
      <c r="D287" s="97" t="s">
        <v>1308</v>
      </c>
      <c r="E287" s="12" t="s">
        <v>570</v>
      </c>
      <c r="F287" s="97" t="s">
        <v>1326</v>
      </c>
    </row>
    <row r="288" spans="2:10" ht="30" customHeight="1" outlineLevel="1" collapsed="1" x14ac:dyDescent="0.2">
      <c r="B288" s="9">
        <f t="shared" si="4"/>
        <v>285</v>
      </c>
      <c r="C288" s="10" t="s">
        <v>571</v>
      </c>
      <c r="D288" s="67" t="s">
        <v>949</v>
      </c>
      <c r="E288" s="10" t="s">
        <v>572</v>
      </c>
      <c r="F288" s="67" t="s">
        <v>1324</v>
      </c>
      <c r="G288" s="4" t="str" cm="1">
        <f t="array" ref="G288:J288">TRANSPOSE(_xlfn._xlws.FILTER(D289:D322,D289:D322 &lt;&gt; ""))</f>
        <v>D5010. Electrical Service &amp; Distribution - Elinstallation &amp; Fordeling</v>
      </c>
      <c r="H288" s="4" t="str">
        <v>D5020. Lighting &amp; Branch Wiring - Belysning &amp; Ledningsføring</v>
      </c>
      <c r="I288" s="4" t="str">
        <v>D5030. Communication &amp; Security Systems - Kommunikations- &amp; Sikringsanlæg</v>
      </c>
      <c r="J288" s="4" t="str">
        <v>D5040. Special Electrical Systems - Specielle El Systemer</v>
      </c>
    </row>
    <row r="289" spans="2:6" ht="30" hidden="1" customHeight="1" outlineLevel="2" x14ac:dyDescent="0.2">
      <c r="B289" s="11">
        <f t="shared" si="4"/>
        <v>286</v>
      </c>
      <c r="C289" s="12" t="s">
        <v>573</v>
      </c>
      <c r="D289" s="97" t="s">
        <v>952</v>
      </c>
      <c r="E289" s="23" t="s">
        <v>574</v>
      </c>
      <c r="F289" s="103" t="s">
        <v>1324</v>
      </c>
    </row>
    <row r="290" spans="2:6" ht="30" hidden="1" customHeight="1" outlineLevel="3" x14ac:dyDescent="0.2">
      <c r="B290" s="13">
        <f t="shared" si="4"/>
        <v>287</v>
      </c>
      <c r="C290" s="14"/>
      <c r="D290" s="15"/>
      <c r="E290" s="14"/>
      <c r="F290" s="15"/>
    </row>
    <row r="291" spans="2:6" ht="30" hidden="1" customHeight="1" outlineLevel="3" x14ac:dyDescent="0.2">
      <c r="B291" s="13">
        <f t="shared" si="4"/>
        <v>288</v>
      </c>
      <c r="C291" s="14"/>
      <c r="D291" s="15"/>
      <c r="E291" s="15"/>
      <c r="F291" s="15"/>
    </row>
    <row r="292" spans="2:6" ht="30" hidden="1" customHeight="1" outlineLevel="3" x14ac:dyDescent="0.2">
      <c r="B292" s="13">
        <f t="shared" si="4"/>
        <v>289</v>
      </c>
      <c r="C292" s="14"/>
      <c r="D292" s="15"/>
      <c r="E292" s="14"/>
      <c r="F292" s="15"/>
    </row>
    <row r="293" spans="2:6" ht="30" hidden="1" customHeight="1" outlineLevel="3" x14ac:dyDescent="0.2">
      <c r="B293" s="13">
        <f t="shared" si="4"/>
        <v>290</v>
      </c>
      <c r="C293" s="14"/>
      <c r="D293" s="15"/>
      <c r="E293" s="15"/>
      <c r="F293" s="15"/>
    </row>
    <row r="294" spans="2:6" ht="30" hidden="1" customHeight="1" outlineLevel="3" x14ac:dyDescent="0.2">
      <c r="B294" s="13">
        <f t="shared" si="4"/>
        <v>291</v>
      </c>
      <c r="C294" s="14"/>
      <c r="D294" s="15"/>
      <c r="E294" s="15"/>
      <c r="F294" s="15"/>
    </row>
    <row r="295" spans="2:6" ht="30" hidden="1" customHeight="1" outlineLevel="2" collapsed="1" x14ac:dyDescent="0.2">
      <c r="B295" s="11">
        <f t="shared" si="4"/>
        <v>292</v>
      </c>
      <c r="C295" s="12" t="s">
        <v>585</v>
      </c>
      <c r="D295" s="97" t="s">
        <v>960</v>
      </c>
      <c r="E295" s="23" t="s">
        <v>586</v>
      </c>
      <c r="F295" s="103" t="s">
        <v>1324</v>
      </c>
    </row>
    <row r="296" spans="2:6" ht="30" hidden="1" customHeight="1" outlineLevel="3" x14ac:dyDescent="0.2">
      <c r="B296" s="13">
        <f t="shared" si="4"/>
        <v>293</v>
      </c>
      <c r="C296" s="14"/>
      <c r="D296" s="15"/>
      <c r="E296" s="14"/>
      <c r="F296" s="15"/>
    </row>
    <row r="297" spans="2:6" ht="30" hidden="1" customHeight="1" outlineLevel="3" x14ac:dyDescent="0.2">
      <c r="B297" s="13">
        <f t="shared" si="4"/>
        <v>294</v>
      </c>
      <c r="C297" s="14"/>
      <c r="D297" s="15"/>
      <c r="E297" s="14"/>
      <c r="F297" s="15"/>
    </row>
    <row r="298" spans="2:6" ht="30" hidden="1" customHeight="1" outlineLevel="2" collapsed="1" x14ac:dyDescent="0.2">
      <c r="B298" s="11">
        <f t="shared" si="4"/>
        <v>295</v>
      </c>
      <c r="C298" s="12" t="s">
        <v>591</v>
      </c>
      <c r="D298" s="97" t="s">
        <v>965</v>
      </c>
      <c r="E298" s="12" t="s">
        <v>592</v>
      </c>
      <c r="F298" s="97" t="s">
        <v>1329</v>
      </c>
    </row>
    <row r="299" spans="2:6" ht="30" hidden="1" customHeight="1" outlineLevel="3" x14ac:dyDescent="0.2">
      <c r="B299" s="13">
        <f t="shared" si="4"/>
        <v>296</v>
      </c>
      <c r="C299" s="14"/>
      <c r="D299" s="15"/>
      <c r="E299" s="14"/>
      <c r="F299" s="15"/>
    </row>
    <row r="300" spans="2:6" ht="30" hidden="1" customHeight="1" outlineLevel="3" x14ac:dyDescent="0.2">
      <c r="B300" s="13">
        <f t="shared" si="4"/>
        <v>297</v>
      </c>
      <c r="C300" s="14"/>
      <c r="D300" s="15"/>
      <c r="E300" s="14"/>
      <c r="F300" s="15"/>
    </row>
    <row r="301" spans="2:6" ht="30" hidden="1" customHeight="1" outlineLevel="3" x14ac:dyDescent="0.2">
      <c r="B301" s="13">
        <f t="shared" si="4"/>
        <v>298</v>
      </c>
      <c r="C301" s="14"/>
      <c r="D301" s="15"/>
      <c r="E301" s="14"/>
      <c r="F301" s="15"/>
    </row>
    <row r="302" spans="2:6" ht="30" hidden="1" customHeight="1" outlineLevel="3" x14ac:dyDescent="0.2">
      <c r="B302" s="13">
        <f t="shared" si="4"/>
        <v>299</v>
      </c>
      <c r="C302" s="14"/>
      <c r="D302" s="15"/>
      <c r="E302" s="14"/>
      <c r="F302" s="15"/>
    </row>
    <row r="303" spans="2:6" ht="30" hidden="1" customHeight="1" outlineLevel="3" x14ac:dyDescent="0.2">
      <c r="B303" s="13">
        <f t="shared" si="4"/>
        <v>300</v>
      </c>
      <c r="C303" s="14"/>
      <c r="D303" s="15"/>
      <c r="E303" s="14"/>
      <c r="F303" s="15"/>
    </row>
    <row r="304" spans="2:6" ht="30" hidden="1" customHeight="1" outlineLevel="3" x14ac:dyDescent="0.2">
      <c r="B304" s="13">
        <f t="shared" si="4"/>
        <v>301</v>
      </c>
      <c r="C304" s="14"/>
      <c r="D304" s="15"/>
      <c r="E304" s="15"/>
      <c r="F304" s="15"/>
    </row>
    <row r="305" spans="2:6" ht="30" hidden="1" customHeight="1" outlineLevel="3" x14ac:dyDescent="0.2">
      <c r="B305" s="13">
        <f t="shared" si="4"/>
        <v>302</v>
      </c>
      <c r="C305" s="14"/>
      <c r="D305" s="15"/>
      <c r="E305" s="14"/>
      <c r="F305" s="15"/>
    </row>
    <row r="306" spans="2:6" ht="30" hidden="1" customHeight="1" outlineLevel="3" x14ac:dyDescent="0.2">
      <c r="B306" s="13">
        <f t="shared" si="4"/>
        <v>303</v>
      </c>
      <c r="C306" s="14"/>
      <c r="D306" s="15"/>
      <c r="E306" s="14"/>
      <c r="F306" s="15"/>
    </row>
    <row r="307" spans="2:6" ht="30" hidden="1" customHeight="1" outlineLevel="3" x14ac:dyDescent="0.2">
      <c r="B307" s="13">
        <f t="shared" si="4"/>
        <v>304</v>
      </c>
      <c r="C307" s="14"/>
      <c r="D307" s="15"/>
      <c r="E307" s="14"/>
      <c r="F307" s="15"/>
    </row>
    <row r="308" spans="2:6" ht="30" hidden="1" customHeight="1" outlineLevel="3" x14ac:dyDescent="0.2">
      <c r="B308" s="13">
        <f t="shared" si="4"/>
        <v>305</v>
      </c>
      <c r="C308" s="14"/>
      <c r="D308" s="15"/>
      <c r="E308" s="42"/>
      <c r="F308" s="42"/>
    </row>
    <row r="309" spans="2:6" ht="30" hidden="1" customHeight="1" outlineLevel="3" x14ac:dyDescent="0.2">
      <c r="B309" s="13">
        <f t="shared" si="4"/>
        <v>306</v>
      </c>
      <c r="C309" s="14"/>
      <c r="D309" s="15"/>
      <c r="E309" s="42"/>
      <c r="F309" s="42"/>
    </row>
    <row r="310" spans="2:6" ht="30" hidden="1" customHeight="1" outlineLevel="2" collapsed="1" x14ac:dyDescent="0.2">
      <c r="B310" s="11">
        <f t="shared" si="4"/>
        <v>307</v>
      </c>
      <c r="C310" s="12" t="s">
        <v>615</v>
      </c>
      <c r="D310" s="97" t="s">
        <v>950</v>
      </c>
      <c r="E310" s="12" t="s">
        <v>616</v>
      </c>
      <c r="F310" s="97" t="s">
        <v>1324</v>
      </c>
    </row>
    <row r="311" spans="2:6" ht="30" hidden="1" customHeight="1" outlineLevel="3" x14ac:dyDescent="0.2">
      <c r="B311" s="13">
        <f t="shared" si="4"/>
        <v>308</v>
      </c>
      <c r="C311" s="14"/>
      <c r="D311" s="15"/>
      <c r="E311" s="14"/>
      <c r="F311" s="15"/>
    </row>
    <row r="312" spans="2:6" ht="30" hidden="1" customHeight="1" outlineLevel="3" x14ac:dyDescent="0.2">
      <c r="B312" s="13">
        <f t="shared" si="4"/>
        <v>309</v>
      </c>
      <c r="C312" s="14"/>
      <c r="D312" s="15"/>
      <c r="E312" s="15"/>
      <c r="F312" s="15"/>
    </row>
    <row r="313" spans="2:6" ht="30" hidden="1" customHeight="1" outlineLevel="3" x14ac:dyDescent="0.2">
      <c r="B313" s="13">
        <f t="shared" si="4"/>
        <v>310</v>
      </c>
      <c r="C313" s="14"/>
      <c r="D313" s="15"/>
      <c r="E313" s="14"/>
      <c r="F313" s="15"/>
    </row>
    <row r="314" spans="2:6" ht="30" hidden="1" customHeight="1" outlineLevel="3" x14ac:dyDescent="0.2">
      <c r="B314" s="13">
        <f t="shared" si="4"/>
        <v>311</v>
      </c>
      <c r="C314" s="14"/>
      <c r="D314" s="15"/>
      <c r="E314" s="15"/>
      <c r="F314" s="15"/>
    </row>
    <row r="315" spans="2:6" ht="30" hidden="1" customHeight="1" outlineLevel="3" x14ac:dyDescent="0.2">
      <c r="B315" s="13">
        <f t="shared" si="4"/>
        <v>312</v>
      </c>
      <c r="C315" s="14"/>
      <c r="D315" s="15"/>
      <c r="E315" s="14"/>
      <c r="F315" s="15"/>
    </row>
    <row r="316" spans="2:6" ht="30" hidden="1" customHeight="1" outlineLevel="3" x14ac:dyDescent="0.2">
      <c r="B316" s="13">
        <f t="shared" si="4"/>
        <v>313</v>
      </c>
      <c r="C316" s="14"/>
      <c r="D316" s="15"/>
      <c r="E316" s="39"/>
      <c r="F316" s="42"/>
    </row>
    <row r="317" spans="2:6" ht="30" hidden="1" customHeight="1" outlineLevel="3" x14ac:dyDescent="0.2">
      <c r="B317" s="13">
        <f t="shared" si="4"/>
        <v>314</v>
      </c>
      <c r="C317" s="14"/>
      <c r="D317" s="15"/>
      <c r="E317" s="40"/>
      <c r="F317" s="106"/>
    </row>
    <row r="318" spans="2:6" ht="30" hidden="1" customHeight="1" outlineLevel="3" x14ac:dyDescent="0.2">
      <c r="B318" s="13">
        <f t="shared" si="4"/>
        <v>315</v>
      </c>
      <c r="C318" s="14"/>
      <c r="D318" s="15"/>
      <c r="E318" s="40"/>
      <c r="F318" s="106"/>
    </row>
    <row r="319" spans="2:6" ht="30" hidden="1" customHeight="1" outlineLevel="3" x14ac:dyDescent="0.2">
      <c r="B319" s="13">
        <f t="shared" si="4"/>
        <v>316</v>
      </c>
      <c r="C319" s="14"/>
      <c r="D319" s="15"/>
      <c r="E319" s="40"/>
      <c r="F319" s="106"/>
    </row>
    <row r="320" spans="2:6" ht="30" hidden="1" customHeight="1" outlineLevel="3" x14ac:dyDescent="0.2">
      <c r="B320" s="13">
        <f t="shared" si="4"/>
        <v>317</v>
      </c>
      <c r="C320" s="14"/>
      <c r="D320" s="15"/>
      <c r="E320" s="40"/>
      <c r="F320" s="106"/>
    </row>
    <row r="321" spans="2:11" ht="30" hidden="1" customHeight="1" outlineLevel="3" x14ac:dyDescent="0.2">
      <c r="B321" s="13">
        <f t="shared" si="4"/>
        <v>318</v>
      </c>
      <c r="C321" s="14"/>
      <c r="D321" s="15"/>
      <c r="E321" s="39"/>
      <c r="F321" s="42"/>
    </row>
    <row r="322" spans="2:11" ht="30" hidden="1" customHeight="1" outlineLevel="3" x14ac:dyDescent="0.2">
      <c r="B322" s="13">
        <f t="shared" si="4"/>
        <v>319</v>
      </c>
      <c r="C322" s="14"/>
      <c r="D322" s="15"/>
      <c r="E322" s="39"/>
      <c r="F322" s="42"/>
    </row>
    <row r="323" spans="2:11" ht="30" customHeight="1" x14ac:dyDescent="0.2">
      <c r="B323" s="7">
        <f>B322+1</f>
        <v>320</v>
      </c>
      <c r="C323" s="8" t="s">
        <v>641</v>
      </c>
      <c r="D323" s="96" t="s">
        <v>930</v>
      </c>
      <c r="E323" s="22" t="s">
        <v>642</v>
      </c>
      <c r="F323" s="102" t="s">
        <v>930</v>
      </c>
    </row>
    <row r="324" spans="2:11" ht="30" customHeight="1" outlineLevel="1" collapsed="1" x14ac:dyDescent="0.2">
      <c r="B324" s="9">
        <f t="shared" si="4"/>
        <v>321</v>
      </c>
      <c r="C324" s="10" t="s">
        <v>643</v>
      </c>
      <c r="D324" s="67" t="s">
        <v>1066</v>
      </c>
      <c r="E324" s="10" t="s">
        <v>644</v>
      </c>
      <c r="F324" s="67" t="s">
        <v>930</v>
      </c>
      <c r="G324" s="4" t="str" cm="1">
        <f t="array" ref="G324:J324">TRANSPOSE(_xlfn._xlws.FILTER(D325:D331,D325:D331 &lt;&gt; ""))</f>
        <v>E1010. Commercial Equipment - Forretnings inventar</v>
      </c>
      <c r="H324" s="4" t="str">
        <v>E1020. Institutional Equipment - Institutions inventar</v>
      </c>
      <c r="I324" s="4" t="str">
        <v>E1030. Vehicular Equipment - Mobilt inventar</v>
      </c>
      <c r="J324" s="4" t="str">
        <v>E1040. Other Equipment - Andet inventar</v>
      </c>
    </row>
    <row r="325" spans="2:11" ht="30" hidden="1" customHeight="1" outlineLevel="2" x14ac:dyDescent="0.2">
      <c r="B325" s="11">
        <f t="shared" si="4"/>
        <v>322</v>
      </c>
      <c r="C325" s="12" t="s">
        <v>645</v>
      </c>
      <c r="D325" s="97" t="s">
        <v>1309</v>
      </c>
      <c r="E325" s="23" t="s">
        <v>646</v>
      </c>
      <c r="F325" s="103" t="s">
        <v>930</v>
      </c>
    </row>
    <row r="326" spans="2:11" ht="30" hidden="1" customHeight="1" outlineLevel="2" x14ac:dyDescent="0.2">
      <c r="B326" s="11">
        <f t="shared" ref="B326:B389" si="5">B325+1</f>
        <v>323</v>
      </c>
      <c r="C326" s="12" t="s">
        <v>647</v>
      </c>
      <c r="D326" s="97" t="s">
        <v>1203</v>
      </c>
      <c r="E326" s="12" t="s">
        <v>648</v>
      </c>
      <c r="F326" s="97" t="s">
        <v>930</v>
      </c>
    </row>
    <row r="327" spans="2:11" ht="30" hidden="1" customHeight="1" outlineLevel="2" x14ac:dyDescent="0.2">
      <c r="B327" s="11">
        <f t="shared" si="5"/>
        <v>324</v>
      </c>
      <c r="C327" s="12" t="s">
        <v>649</v>
      </c>
      <c r="D327" s="97" t="s">
        <v>1310</v>
      </c>
      <c r="E327" s="12" t="s">
        <v>650</v>
      </c>
      <c r="F327" s="97" t="s">
        <v>930</v>
      </c>
    </row>
    <row r="328" spans="2:11" ht="30" hidden="1" customHeight="1" outlineLevel="2" x14ac:dyDescent="0.2">
      <c r="B328" s="11">
        <f t="shared" si="5"/>
        <v>325</v>
      </c>
      <c r="C328" s="12" t="s">
        <v>651</v>
      </c>
      <c r="D328" s="97" t="s">
        <v>1067</v>
      </c>
      <c r="E328" s="12" t="s">
        <v>652</v>
      </c>
      <c r="F328" s="97" t="s">
        <v>930</v>
      </c>
    </row>
    <row r="329" spans="2:11" ht="30" hidden="1" customHeight="1" outlineLevel="3" x14ac:dyDescent="0.2">
      <c r="B329" s="13">
        <f t="shared" si="5"/>
        <v>326</v>
      </c>
      <c r="C329" s="14"/>
      <c r="D329" s="15"/>
      <c r="E329" s="14"/>
      <c r="F329" s="15"/>
    </row>
    <row r="330" spans="2:11" ht="30" hidden="1" customHeight="1" outlineLevel="3" x14ac:dyDescent="0.2">
      <c r="B330" s="13">
        <f t="shared" si="5"/>
        <v>327</v>
      </c>
      <c r="C330" s="14"/>
      <c r="D330" s="15"/>
      <c r="E330" s="14"/>
      <c r="F330" s="15"/>
    </row>
    <row r="331" spans="2:11" ht="30" hidden="1" customHeight="1" outlineLevel="3" x14ac:dyDescent="0.2">
      <c r="B331" s="13">
        <f t="shared" si="5"/>
        <v>328</v>
      </c>
      <c r="C331" s="14"/>
      <c r="D331" s="15"/>
      <c r="E331" s="14"/>
      <c r="F331" s="15"/>
    </row>
    <row r="332" spans="2:11" ht="30" customHeight="1" outlineLevel="1" collapsed="1" x14ac:dyDescent="0.2">
      <c r="B332" s="9">
        <f t="shared" si="5"/>
        <v>329</v>
      </c>
      <c r="C332" s="10" t="s">
        <v>659</v>
      </c>
      <c r="D332" s="67" t="s">
        <v>931</v>
      </c>
      <c r="E332" s="10" t="s">
        <v>660</v>
      </c>
      <c r="F332" s="67" t="s">
        <v>930</v>
      </c>
      <c r="G332" s="4" t="str" cm="1">
        <f t="array" ref="G332:H332">TRANSPOSE(_xlfn._xlws.FILTER(D333:D334,D333:D334 &lt;&gt; ""))</f>
        <v>E2010. Fixed Furnishings - Fast Møbler</v>
      </c>
      <c r="H332" s="4" t="str">
        <v>E2020. Movable Furnishings - Løst inventar</v>
      </c>
    </row>
    <row r="333" spans="2:11" ht="30" hidden="1" customHeight="1" outlineLevel="2" x14ac:dyDescent="0.2">
      <c r="B333" s="11">
        <f t="shared" si="5"/>
        <v>330</v>
      </c>
      <c r="C333" s="12" t="s">
        <v>661</v>
      </c>
      <c r="D333" s="97" t="s">
        <v>932</v>
      </c>
      <c r="E333" s="23" t="s">
        <v>662</v>
      </c>
      <c r="F333" s="103" t="s">
        <v>930</v>
      </c>
    </row>
    <row r="334" spans="2:11" ht="30" hidden="1" customHeight="1" outlineLevel="2" x14ac:dyDescent="0.2">
      <c r="B334" s="11">
        <f t="shared" si="5"/>
        <v>331</v>
      </c>
      <c r="C334" s="12" t="s">
        <v>663</v>
      </c>
      <c r="D334" s="97" t="s">
        <v>1064</v>
      </c>
      <c r="E334" s="17" t="s">
        <v>664</v>
      </c>
      <c r="F334" s="31" t="s">
        <v>930</v>
      </c>
    </row>
    <row r="335" spans="2:11" ht="30" customHeight="1" x14ac:dyDescent="0.2">
      <c r="B335" s="7">
        <f t="shared" si="5"/>
        <v>332</v>
      </c>
      <c r="C335" s="8" t="s">
        <v>665</v>
      </c>
      <c r="D335" s="96" t="s">
        <v>1073</v>
      </c>
      <c r="E335" s="22" t="s">
        <v>666</v>
      </c>
      <c r="F335" s="102" t="s">
        <v>1073</v>
      </c>
    </row>
    <row r="336" spans="2:11" ht="30" customHeight="1" outlineLevel="1" x14ac:dyDescent="0.2">
      <c r="B336" s="9">
        <f t="shared" si="5"/>
        <v>333</v>
      </c>
      <c r="C336" s="10" t="s">
        <v>667</v>
      </c>
      <c r="D336" s="67" t="s">
        <v>1185</v>
      </c>
      <c r="E336" s="10" t="s">
        <v>668</v>
      </c>
      <c r="F336" s="67" t="s">
        <v>1073</v>
      </c>
      <c r="G336" s="4" t="str" cm="1">
        <f t="array" ref="G336:K336">TRANSPOSE(_xlfn._xlws.FILTER(D337:D341,D337:D341 &lt;&gt; ""))</f>
        <v>F1010. Special Structures - Specielle Konstruktioner</v>
      </c>
      <c r="H336" s="4" t="str">
        <v>F1020. Integrated Construction - Indbygget konstruktioner</v>
      </c>
      <c r="I336" s="4" t="str">
        <v>F1030. Special Construction Systems - Specielle Konstruktion Systemer</v>
      </c>
      <c r="J336" s="4" t="str">
        <v>F1040. Special Facilities - Specielle Faciliteter</v>
      </c>
      <c r="K336" s="4" t="str">
        <v>F1050. Special Controls &amp; Instrumentation - Specielle Kontrol &amp; Instrumentation</v>
      </c>
    </row>
    <row r="337" spans="2:10" ht="30" hidden="1" customHeight="1" outlineLevel="2" x14ac:dyDescent="0.2">
      <c r="B337" s="11">
        <f t="shared" si="5"/>
        <v>334</v>
      </c>
      <c r="C337" s="12" t="s">
        <v>669</v>
      </c>
      <c r="D337" s="97" t="s">
        <v>1197</v>
      </c>
      <c r="E337" s="23" t="s">
        <v>670</v>
      </c>
      <c r="F337" s="103" t="s">
        <v>1073</v>
      </c>
    </row>
    <row r="338" spans="2:10" ht="30" hidden="1" customHeight="1" outlineLevel="2" x14ac:dyDescent="0.2">
      <c r="B338" s="11">
        <f t="shared" si="5"/>
        <v>335</v>
      </c>
      <c r="C338" s="12" t="s">
        <v>671</v>
      </c>
      <c r="D338" s="97" t="s">
        <v>1311</v>
      </c>
      <c r="E338" s="12" t="s">
        <v>672</v>
      </c>
      <c r="F338" s="97" t="s">
        <v>1073</v>
      </c>
    </row>
    <row r="339" spans="2:10" ht="30" hidden="1" customHeight="1" outlineLevel="2" x14ac:dyDescent="0.2">
      <c r="B339" s="11">
        <f t="shared" si="5"/>
        <v>336</v>
      </c>
      <c r="C339" s="12" t="s">
        <v>673</v>
      </c>
      <c r="D339" s="97" t="s">
        <v>1230</v>
      </c>
      <c r="E339" s="12" t="s">
        <v>674</v>
      </c>
      <c r="F339" s="97" t="s">
        <v>1073</v>
      </c>
    </row>
    <row r="340" spans="2:10" ht="30" hidden="1" customHeight="1" outlineLevel="2" x14ac:dyDescent="0.2">
      <c r="B340" s="11">
        <f t="shared" si="5"/>
        <v>337</v>
      </c>
      <c r="C340" s="12" t="s">
        <v>675</v>
      </c>
      <c r="D340" s="97" t="s">
        <v>1186</v>
      </c>
      <c r="E340" s="12" t="s">
        <v>676</v>
      </c>
      <c r="F340" s="97" t="s">
        <v>1073</v>
      </c>
    </row>
    <row r="341" spans="2:10" ht="30" hidden="1" customHeight="1" outlineLevel="2" x14ac:dyDescent="0.2">
      <c r="B341" s="11">
        <f t="shared" si="5"/>
        <v>338</v>
      </c>
      <c r="C341" s="12" t="s">
        <v>677</v>
      </c>
      <c r="D341" s="97" t="s">
        <v>1227</v>
      </c>
      <c r="E341" s="12" t="s">
        <v>678</v>
      </c>
      <c r="F341" s="97" t="s">
        <v>1073</v>
      </c>
    </row>
    <row r="342" spans="2:10" ht="30" customHeight="1" outlineLevel="1" collapsed="1" x14ac:dyDescent="0.2">
      <c r="B342" s="9">
        <f t="shared" si="5"/>
        <v>339</v>
      </c>
      <c r="C342" s="10" t="s">
        <v>679</v>
      </c>
      <c r="D342" s="67" t="s">
        <v>1074</v>
      </c>
      <c r="E342" s="10" t="s">
        <v>680</v>
      </c>
      <c r="F342" s="67" t="s">
        <v>1073</v>
      </c>
      <c r="G342" s="4" t="str" cm="1">
        <f t="array" ref="G342:H342">TRANSPOSE(_xlfn._xlws.FILTER(D343:D348,D343:D348&lt;&gt; ""))</f>
        <v>F2010. Building Elements Demolition - Bygningselementer nedrivning</v>
      </c>
      <c r="H342" s="4" t="str">
        <v>F2020. Hazardous Components Abatement - Fjernelse af farligt materiale</v>
      </c>
    </row>
    <row r="343" spans="2:10" ht="30" hidden="1" customHeight="1" outlineLevel="2" x14ac:dyDescent="0.2">
      <c r="B343" s="11">
        <f t="shared" si="5"/>
        <v>340</v>
      </c>
      <c r="C343" s="12" t="s">
        <v>681</v>
      </c>
      <c r="D343" s="97" t="s">
        <v>1075</v>
      </c>
      <c r="E343" s="12" t="s">
        <v>682</v>
      </c>
      <c r="F343" s="97" t="s">
        <v>1073</v>
      </c>
    </row>
    <row r="344" spans="2:10" ht="30" hidden="1" customHeight="1" outlineLevel="3" x14ac:dyDescent="0.2">
      <c r="B344" s="13">
        <f t="shared" si="5"/>
        <v>341</v>
      </c>
      <c r="C344" s="14"/>
      <c r="D344" s="15"/>
      <c r="E344" s="43"/>
      <c r="F344" s="107"/>
    </row>
    <row r="345" spans="2:10" ht="30" hidden="1" customHeight="1" outlineLevel="3" x14ac:dyDescent="0.2">
      <c r="B345" s="13">
        <f t="shared" si="5"/>
        <v>342</v>
      </c>
      <c r="C345" s="14"/>
      <c r="D345" s="15"/>
      <c r="E345" s="43"/>
      <c r="F345" s="107"/>
    </row>
    <row r="346" spans="2:10" ht="30" hidden="1" customHeight="1" outlineLevel="3" x14ac:dyDescent="0.2">
      <c r="B346" s="13">
        <f t="shared" si="5"/>
        <v>343</v>
      </c>
      <c r="C346" s="14"/>
      <c r="D346" s="15"/>
      <c r="E346" s="43"/>
      <c r="F346" s="107"/>
    </row>
    <row r="347" spans="2:10" ht="30" hidden="1" customHeight="1" outlineLevel="3" x14ac:dyDescent="0.2">
      <c r="B347" s="13">
        <f t="shared" si="5"/>
        <v>344</v>
      </c>
      <c r="C347" s="14"/>
      <c r="D347" s="15"/>
      <c r="E347" s="43"/>
      <c r="F347" s="107"/>
    </row>
    <row r="348" spans="2:10" ht="30" hidden="1" customHeight="1" outlineLevel="2" collapsed="1" x14ac:dyDescent="0.2">
      <c r="B348" s="13">
        <f t="shared" si="5"/>
        <v>345</v>
      </c>
      <c r="C348" s="12" t="s">
        <v>691</v>
      </c>
      <c r="D348" s="97" t="s">
        <v>1312</v>
      </c>
      <c r="E348" s="12" t="s">
        <v>692</v>
      </c>
      <c r="F348" s="97" t="s">
        <v>1073</v>
      </c>
    </row>
    <row r="349" spans="2:10" ht="30" customHeight="1" x14ac:dyDescent="0.2">
      <c r="B349" s="7">
        <f t="shared" si="5"/>
        <v>346</v>
      </c>
      <c r="C349" s="8" t="s">
        <v>693</v>
      </c>
      <c r="D349" s="96" t="s">
        <v>839</v>
      </c>
      <c r="E349" s="8" t="s">
        <v>694</v>
      </c>
      <c r="F349" s="96" t="s">
        <v>839</v>
      </c>
    </row>
    <row r="350" spans="2:10" ht="30" customHeight="1" outlineLevel="1" x14ac:dyDescent="0.2">
      <c r="B350" s="9">
        <f t="shared" si="5"/>
        <v>347</v>
      </c>
      <c r="C350" s="10" t="s">
        <v>695</v>
      </c>
      <c r="D350" s="67" t="s">
        <v>1107</v>
      </c>
      <c r="E350" s="10" t="s">
        <v>696</v>
      </c>
      <c r="F350" s="67" t="s">
        <v>839</v>
      </c>
      <c r="G350" s="4" t="str" cm="1">
        <f t="array" ref="G350:J350">TRANSPOSE(_xlfn._xlws.FILTER(D351:D362,D351:D362&lt;&gt; ""))</f>
        <v>G1010. Site Clearing – Rydning af Grund</v>
      </c>
      <c r="H350" s="4" t="str">
        <v>G1020. Site Demolition &amp; Relocation – Grund nedrivning og flytning</v>
      </c>
      <c r="I350" s="4" t="str">
        <v>G1030. Site Earthwork – Grund jordarbejder</v>
      </c>
      <c r="J350" s="4" t="str">
        <v>G1040. Hazardous Waste Remediation - Farligt Oprydning affald</v>
      </c>
    </row>
    <row r="351" spans="2:10" ht="30" hidden="1" customHeight="1" outlineLevel="2" x14ac:dyDescent="0.2">
      <c r="B351" s="11">
        <f t="shared" si="5"/>
        <v>348</v>
      </c>
      <c r="C351" s="12" t="s">
        <v>697</v>
      </c>
      <c r="D351" s="97" t="s">
        <v>1058</v>
      </c>
      <c r="E351" s="12" t="s">
        <v>698</v>
      </c>
      <c r="F351" s="97" t="s">
        <v>839</v>
      </c>
    </row>
    <row r="352" spans="2:10" ht="30" hidden="1" customHeight="1" outlineLevel="2" x14ac:dyDescent="0.2">
      <c r="B352" s="11">
        <f t="shared" si="5"/>
        <v>349</v>
      </c>
      <c r="C352" s="12" t="s">
        <v>699</v>
      </c>
      <c r="D352" s="97" t="s">
        <v>844</v>
      </c>
      <c r="E352" s="12" t="s">
        <v>700</v>
      </c>
      <c r="F352" s="97" t="s">
        <v>839</v>
      </c>
    </row>
    <row r="353" spans="2:11" ht="30" hidden="1" customHeight="1" outlineLevel="2" x14ac:dyDescent="0.2">
      <c r="B353" s="11">
        <f t="shared" si="5"/>
        <v>350</v>
      </c>
      <c r="C353" s="12" t="s">
        <v>701</v>
      </c>
      <c r="D353" s="97" t="s">
        <v>840</v>
      </c>
      <c r="E353" s="12" t="s">
        <v>702</v>
      </c>
      <c r="F353" s="97" t="s">
        <v>839</v>
      </c>
    </row>
    <row r="354" spans="2:11" ht="30" hidden="1" customHeight="1" outlineLevel="3" x14ac:dyDescent="0.2">
      <c r="B354" s="24">
        <f t="shared" si="5"/>
        <v>351</v>
      </c>
      <c r="C354" s="25"/>
      <c r="D354" s="44"/>
      <c r="E354" s="44"/>
      <c r="F354" s="44"/>
    </row>
    <row r="355" spans="2:11" ht="30" hidden="1" customHeight="1" outlineLevel="3" x14ac:dyDescent="0.2">
      <c r="B355" s="13">
        <f t="shared" si="5"/>
        <v>352</v>
      </c>
      <c r="C355" s="14"/>
      <c r="D355" s="15"/>
      <c r="E355" s="14"/>
      <c r="F355" s="15"/>
    </row>
    <row r="356" spans="2:11" ht="30" hidden="1" customHeight="1" outlineLevel="3" x14ac:dyDescent="0.2">
      <c r="B356" s="13">
        <f t="shared" si="5"/>
        <v>353</v>
      </c>
      <c r="C356" s="14"/>
      <c r="D356" s="15"/>
      <c r="E356" s="15"/>
      <c r="F356" s="15"/>
    </row>
    <row r="357" spans="2:11" ht="30" hidden="1" customHeight="1" outlineLevel="3" x14ac:dyDescent="0.2">
      <c r="B357" s="13">
        <f t="shared" si="5"/>
        <v>354</v>
      </c>
      <c r="C357" s="14"/>
      <c r="D357" s="15"/>
      <c r="E357" s="15"/>
      <c r="F357" s="15"/>
    </row>
    <row r="358" spans="2:11" ht="30" hidden="1" customHeight="1" outlineLevel="3" x14ac:dyDescent="0.2">
      <c r="B358" s="13">
        <f t="shared" si="5"/>
        <v>355</v>
      </c>
      <c r="C358" s="14"/>
      <c r="D358" s="15"/>
      <c r="E358" s="15"/>
      <c r="F358" s="15"/>
    </row>
    <row r="359" spans="2:11" ht="30" hidden="1" customHeight="1" outlineLevel="3" x14ac:dyDescent="0.2">
      <c r="B359" s="13">
        <f t="shared" si="5"/>
        <v>356</v>
      </c>
      <c r="C359" s="14"/>
      <c r="D359" s="15"/>
      <c r="E359" s="15"/>
      <c r="F359" s="15"/>
    </row>
    <row r="360" spans="2:11" ht="30" hidden="1" customHeight="1" outlineLevel="3" x14ac:dyDescent="0.2">
      <c r="B360" s="13">
        <f t="shared" si="5"/>
        <v>357</v>
      </c>
      <c r="C360" s="14"/>
      <c r="D360" s="15"/>
      <c r="E360" s="15"/>
      <c r="F360" s="15"/>
    </row>
    <row r="361" spans="2:11" ht="30" hidden="1" customHeight="1" outlineLevel="3" x14ac:dyDescent="0.2">
      <c r="B361" s="13">
        <f t="shared" si="5"/>
        <v>358</v>
      </c>
      <c r="C361" s="14"/>
      <c r="D361" s="15"/>
      <c r="E361" s="15"/>
      <c r="F361" s="15"/>
    </row>
    <row r="362" spans="2:11" ht="30" hidden="1" customHeight="1" outlineLevel="2" collapsed="1" x14ac:dyDescent="0.2">
      <c r="B362" s="11">
        <f t="shared" si="5"/>
        <v>359</v>
      </c>
      <c r="C362" s="12" t="s">
        <v>719</v>
      </c>
      <c r="D362" s="97" t="s">
        <v>1314</v>
      </c>
      <c r="E362" s="12" t="s">
        <v>720</v>
      </c>
      <c r="F362" s="97" t="s">
        <v>839</v>
      </c>
    </row>
    <row r="363" spans="2:11" ht="30" customHeight="1" outlineLevel="1" collapsed="1" x14ac:dyDescent="0.2">
      <c r="B363" s="9">
        <f t="shared" si="5"/>
        <v>360</v>
      </c>
      <c r="C363" s="10" t="s">
        <v>721</v>
      </c>
      <c r="D363" s="67" t="s">
        <v>1059</v>
      </c>
      <c r="E363" s="10" t="s">
        <v>722</v>
      </c>
      <c r="F363" s="67" t="s">
        <v>839</v>
      </c>
      <c r="G363" s="4" t="str" cm="1">
        <f t="array" ref="G363:K363">TRANSPOSE(_xlfn._xlws.FILTER(D364:D379,D364:D379&lt;&gt; ""))</f>
        <v>G2010. Roadways – Kørebaner / Vejbaner</v>
      </c>
      <c r="H363" s="4" t="str">
        <v>G2020. Parking Lots - Parkeringspladser</v>
      </c>
      <c r="I363" s="4" t="str">
        <v>G2030. Pedestrian Paving - Gågade Brolægning</v>
      </c>
      <c r="J363" s="4" t="str">
        <v>G2040. Site Development – Udvikling af Grund / Modning</v>
      </c>
      <c r="K363" s="4" t="str">
        <v>G2050. Landscaping - Landskab</v>
      </c>
    </row>
    <row r="364" spans="2:11" ht="30" hidden="1" customHeight="1" outlineLevel="2" x14ac:dyDescent="0.2">
      <c r="B364" s="11">
        <f t="shared" si="5"/>
        <v>361</v>
      </c>
      <c r="C364" s="12" t="s">
        <v>723</v>
      </c>
      <c r="D364" s="97" t="s">
        <v>1221</v>
      </c>
      <c r="E364" s="12" t="s">
        <v>724</v>
      </c>
      <c r="F364" s="97" t="s">
        <v>839</v>
      </c>
    </row>
    <row r="365" spans="2:11" ht="30" hidden="1" customHeight="1" outlineLevel="2" x14ac:dyDescent="0.2">
      <c r="B365" s="11">
        <f t="shared" si="5"/>
        <v>362</v>
      </c>
      <c r="C365" s="12" t="s">
        <v>725</v>
      </c>
      <c r="D365" s="97" t="s">
        <v>1165</v>
      </c>
      <c r="E365" s="12" t="s">
        <v>726</v>
      </c>
      <c r="F365" s="97" t="s">
        <v>839</v>
      </c>
    </row>
    <row r="366" spans="2:11" ht="30" hidden="1" customHeight="1" outlineLevel="2" x14ac:dyDescent="0.2">
      <c r="B366" s="11">
        <f t="shared" si="5"/>
        <v>363</v>
      </c>
      <c r="C366" s="12" t="s">
        <v>727</v>
      </c>
      <c r="D366" s="97" t="s">
        <v>1062</v>
      </c>
      <c r="E366" s="12" t="s">
        <v>728</v>
      </c>
      <c r="F366" s="97" t="s">
        <v>839</v>
      </c>
    </row>
    <row r="367" spans="2:11" ht="30" hidden="1" customHeight="1" outlineLevel="3" x14ac:dyDescent="0.2">
      <c r="B367" s="13">
        <f t="shared" si="5"/>
        <v>364</v>
      </c>
      <c r="C367" s="14"/>
      <c r="D367" s="15"/>
      <c r="E367" s="14"/>
      <c r="F367" s="15"/>
    </row>
    <row r="368" spans="2:11" ht="30" hidden="1" customHeight="1" outlineLevel="3" x14ac:dyDescent="0.2">
      <c r="B368" s="13">
        <f t="shared" si="5"/>
        <v>365</v>
      </c>
      <c r="C368" s="14"/>
      <c r="D368" s="15"/>
      <c r="E368" s="15"/>
      <c r="F368" s="15"/>
    </row>
    <row r="369" spans="2:13" ht="30" hidden="1" customHeight="1" outlineLevel="3" x14ac:dyDescent="0.2">
      <c r="B369" s="13">
        <f t="shared" si="5"/>
        <v>366</v>
      </c>
      <c r="C369" s="14"/>
      <c r="D369" s="15"/>
      <c r="E369" s="15"/>
      <c r="F369" s="15"/>
    </row>
    <row r="370" spans="2:13" ht="30" hidden="1" customHeight="1" outlineLevel="2" collapsed="1" x14ac:dyDescent="0.2">
      <c r="B370" s="11">
        <f t="shared" si="5"/>
        <v>367</v>
      </c>
      <c r="C370" s="12" t="s">
        <v>734</v>
      </c>
      <c r="D370" s="97" t="s">
        <v>1166</v>
      </c>
      <c r="E370" s="12" t="s">
        <v>735</v>
      </c>
      <c r="F370" s="97" t="s">
        <v>839</v>
      </c>
    </row>
    <row r="371" spans="2:13" ht="30" hidden="1" customHeight="1" outlineLevel="3" x14ac:dyDescent="0.2">
      <c r="B371" s="13">
        <f t="shared" si="5"/>
        <v>368</v>
      </c>
      <c r="C371" s="14"/>
      <c r="D371" s="15"/>
      <c r="E371" s="45"/>
      <c r="F371" s="45"/>
    </row>
    <row r="372" spans="2:13" ht="30" hidden="1" customHeight="1" outlineLevel="3" x14ac:dyDescent="0.2">
      <c r="B372" s="24">
        <f t="shared" si="5"/>
        <v>369</v>
      </c>
      <c r="C372" s="25"/>
      <c r="D372" s="44"/>
      <c r="E372" s="44"/>
      <c r="F372" s="44"/>
    </row>
    <row r="373" spans="2:13" ht="30" hidden="1" customHeight="1" outlineLevel="3" x14ac:dyDescent="0.2">
      <c r="B373" s="46">
        <f t="shared" si="5"/>
        <v>370</v>
      </c>
      <c r="C373" s="47"/>
      <c r="D373" s="48"/>
      <c r="E373" s="48"/>
      <c r="F373" s="48"/>
    </row>
    <row r="374" spans="2:13" ht="30" hidden="1" customHeight="1" outlineLevel="3" x14ac:dyDescent="0.2">
      <c r="B374" s="13">
        <f t="shared" si="5"/>
        <v>371</v>
      </c>
      <c r="C374" s="14"/>
      <c r="D374" s="15"/>
      <c r="E374" s="15"/>
      <c r="F374" s="15"/>
    </row>
    <row r="375" spans="2:13" ht="30" hidden="1" customHeight="1" outlineLevel="3" x14ac:dyDescent="0.2">
      <c r="B375" s="46">
        <f t="shared" si="5"/>
        <v>372</v>
      </c>
      <c r="C375" s="47"/>
      <c r="D375" s="48"/>
      <c r="E375" s="49"/>
      <c r="F375" s="49"/>
    </row>
    <row r="376" spans="2:13" ht="30" hidden="1" customHeight="1" outlineLevel="2" collapsed="1" x14ac:dyDescent="0.2">
      <c r="B376" s="11">
        <f t="shared" si="5"/>
        <v>373</v>
      </c>
      <c r="C376" s="12" t="s">
        <v>746</v>
      </c>
      <c r="D376" s="97" t="s">
        <v>1060</v>
      </c>
      <c r="E376" s="12" t="s">
        <v>747</v>
      </c>
      <c r="F376" s="97" t="s">
        <v>839</v>
      </c>
    </row>
    <row r="377" spans="2:13" ht="30" hidden="1" customHeight="1" outlineLevel="3" x14ac:dyDescent="0.2">
      <c r="B377" s="13">
        <f t="shared" si="5"/>
        <v>374</v>
      </c>
      <c r="C377" s="14"/>
      <c r="D377" s="15"/>
      <c r="E377" s="15"/>
      <c r="F377" s="15"/>
    </row>
    <row r="378" spans="2:13" ht="30" hidden="1" customHeight="1" outlineLevel="3" x14ac:dyDescent="0.2">
      <c r="B378" s="13">
        <f t="shared" si="5"/>
        <v>375</v>
      </c>
      <c r="C378" s="14"/>
      <c r="D378" s="15"/>
      <c r="E378" s="15"/>
      <c r="F378" s="15"/>
    </row>
    <row r="379" spans="2:13" ht="30" hidden="1" customHeight="1" outlineLevel="3" x14ac:dyDescent="0.2">
      <c r="B379" s="13">
        <f t="shared" si="5"/>
        <v>376</v>
      </c>
      <c r="C379" s="14"/>
      <c r="D379" s="15"/>
      <c r="E379" s="14"/>
      <c r="F379" s="15"/>
    </row>
    <row r="380" spans="2:13" ht="30" customHeight="1" outlineLevel="1" collapsed="1" x14ac:dyDescent="0.2">
      <c r="B380" s="9">
        <f t="shared" si="5"/>
        <v>377</v>
      </c>
      <c r="C380" s="10" t="s">
        <v>754</v>
      </c>
      <c r="D380" s="67" t="s">
        <v>845</v>
      </c>
      <c r="E380" s="10" t="s">
        <v>755</v>
      </c>
      <c r="F380" s="67" t="s">
        <v>839</v>
      </c>
      <c r="G380" s="4" t="str" cm="1">
        <f t="array" ref="G380:M380">TRANSPOSE(_xlfn._xlws.FILTER(D381:D392,D381:D392&lt;&gt; ""))</f>
        <v>G3010. Water Supply &amp; Distribution Systems – Vand forsyning &amp; fordeling Systemer</v>
      </c>
      <c r="H380" s="4" t="str">
        <v>G3020. Sanitary Sewer Systems - Sanitet Kloak Systemer</v>
      </c>
      <c r="I380" s="4" t="str">
        <v>G3030. Storm Sewer Systems – Storm Kloak Systemer</v>
      </c>
      <c r="J380" s="4" t="str">
        <v>G3040. Heating Distribution – Varmeinstallationer</v>
      </c>
      <c r="K380" s="4" t="str">
        <v>G3050. Cooling Distribution - Kølesystem</v>
      </c>
      <c r="L380" s="4" t="str">
        <v>G3060. Fuel Distribution - Brændstofinstallationer</v>
      </c>
      <c r="M380" s="4" t="str">
        <v>G3070. Other Civil / Mechanical Utilities – Øvrige Bygge / VVS installationer</v>
      </c>
    </row>
    <row r="381" spans="2:13" ht="30" hidden="1" customHeight="1" outlineLevel="2" x14ac:dyDescent="0.2">
      <c r="B381" s="11">
        <f t="shared" si="5"/>
        <v>378</v>
      </c>
      <c r="C381" s="12" t="s">
        <v>756</v>
      </c>
      <c r="D381" s="97" t="s">
        <v>1318</v>
      </c>
      <c r="E381" s="12" t="s">
        <v>757</v>
      </c>
      <c r="F381" s="97" t="s">
        <v>839</v>
      </c>
    </row>
    <row r="382" spans="2:13" ht="30" hidden="1" customHeight="1" outlineLevel="2" x14ac:dyDescent="0.2">
      <c r="B382" s="11">
        <f t="shared" si="5"/>
        <v>379</v>
      </c>
      <c r="C382" s="12" t="s">
        <v>758</v>
      </c>
      <c r="D382" s="97" t="s">
        <v>846</v>
      </c>
      <c r="E382" s="12" t="s">
        <v>759</v>
      </c>
      <c r="F382" s="97" t="s">
        <v>839</v>
      </c>
    </row>
    <row r="383" spans="2:13" ht="30" hidden="1" customHeight="1" outlineLevel="3" x14ac:dyDescent="0.2">
      <c r="B383" s="13">
        <f t="shared" si="5"/>
        <v>380</v>
      </c>
      <c r="C383" s="14"/>
      <c r="D383" s="15"/>
      <c r="E383" s="15"/>
      <c r="F383" s="15"/>
    </row>
    <row r="384" spans="2:13" ht="30" hidden="1" customHeight="1" outlineLevel="3" x14ac:dyDescent="0.2">
      <c r="B384" s="13">
        <f t="shared" si="5"/>
        <v>381</v>
      </c>
      <c r="C384" s="14"/>
      <c r="D384" s="15"/>
      <c r="E384" s="15"/>
      <c r="F384" s="15"/>
    </row>
    <row r="385" spans="2:10" ht="30" hidden="1" customHeight="1" outlineLevel="3" x14ac:dyDescent="0.2">
      <c r="B385" s="13">
        <f t="shared" si="5"/>
        <v>382</v>
      </c>
      <c r="C385" s="14"/>
      <c r="D385" s="15"/>
      <c r="E385" s="15"/>
      <c r="F385" s="15"/>
    </row>
    <row r="386" spans="2:10" ht="30" hidden="1" customHeight="1" outlineLevel="3" x14ac:dyDescent="0.2">
      <c r="B386" s="13">
        <f t="shared" si="5"/>
        <v>383</v>
      </c>
      <c r="C386" s="14"/>
      <c r="D386" s="15"/>
      <c r="E386" s="15"/>
      <c r="F386" s="15"/>
    </row>
    <row r="387" spans="2:10" ht="30" hidden="1" customHeight="1" outlineLevel="3" x14ac:dyDescent="0.2">
      <c r="B387" s="13">
        <f t="shared" si="5"/>
        <v>384</v>
      </c>
      <c r="C387" s="14"/>
      <c r="D387" s="15"/>
      <c r="E387" s="15"/>
      <c r="F387" s="15"/>
    </row>
    <row r="388" spans="2:10" ht="30" hidden="1" customHeight="1" outlineLevel="2" collapsed="1" x14ac:dyDescent="0.2">
      <c r="B388" s="11">
        <f t="shared" si="5"/>
        <v>385</v>
      </c>
      <c r="C388" s="12" t="s">
        <v>770</v>
      </c>
      <c r="D388" s="97" t="s">
        <v>1319</v>
      </c>
      <c r="E388" s="12" t="s">
        <v>771</v>
      </c>
      <c r="F388" s="97" t="s">
        <v>839</v>
      </c>
    </row>
    <row r="389" spans="2:10" ht="30" hidden="1" customHeight="1" outlineLevel="2" x14ac:dyDescent="0.2">
      <c r="B389" s="11">
        <f t="shared" si="5"/>
        <v>386</v>
      </c>
      <c r="C389" s="12" t="s">
        <v>772</v>
      </c>
      <c r="D389" s="97" t="s">
        <v>1226</v>
      </c>
      <c r="E389" s="12" t="s">
        <v>773</v>
      </c>
      <c r="F389" s="97" t="s">
        <v>839</v>
      </c>
    </row>
    <row r="390" spans="2:10" ht="30" hidden="1" customHeight="1" outlineLevel="2" x14ac:dyDescent="0.2">
      <c r="B390" s="11">
        <f t="shared" ref="B390:B404" si="6">B389+1</f>
        <v>387</v>
      </c>
      <c r="C390" s="12" t="s">
        <v>774</v>
      </c>
      <c r="D390" s="97" t="s">
        <v>1320</v>
      </c>
      <c r="E390" s="12" t="s">
        <v>775</v>
      </c>
      <c r="F390" s="97" t="s">
        <v>839</v>
      </c>
    </row>
    <row r="391" spans="2:10" ht="30" hidden="1" customHeight="1" outlineLevel="2" x14ac:dyDescent="0.2">
      <c r="B391" s="11">
        <f t="shared" si="6"/>
        <v>388</v>
      </c>
      <c r="C391" s="12" t="s">
        <v>776</v>
      </c>
      <c r="D391" s="97" t="s">
        <v>1321</v>
      </c>
      <c r="E391" s="12" t="s">
        <v>777</v>
      </c>
      <c r="F391" s="97" t="s">
        <v>839</v>
      </c>
    </row>
    <row r="392" spans="2:10" ht="30" hidden="1" customHeight="1" outlineLevel="2" x14ac:dyDescent="0.2">
      <c r="B392" s="11">
        <f t="shared" si="6"/>
        <v>389</v>
      </c>
      <c r="C392" s="12" t="s">
        <v>778</v>
      </c>
      <c r="D392" s="97" t="s">
        <v>1322</v>
      </c>
      <c r="E392" s="12" t="s">
        <v>779</v>
      </c>
      <c r="F392" s="97" t="s">
        <v>839</v>
      </c>
    </row>
    <row r="393" spans="2:10" ht="30" customHeight="1" outlineLevel="1" collapsed="1" x14ac:dyDescent="0.2">
      <c r="B393" s="9">
        <f t="shared" si="6"/>
        <v>390</v>
      </c>
      <c r="C393" s="10" t="s">
        <v>780</v>
      </c>
      <c r="D393" s="67" t="s">
        <v>945</v>
      </c>
      <c r="E393" s="10" t="s">
        <v>781</v>
      </c>
      <c r="F393" s="67" t="s">
        <v>839</v>
      </c>
      <c r="G393" s="4" t="str" cm="1">
        <f t="array" ref="G393:J393">TRANSPOSE(_xlfn._xlws.FILTER(D394:D397,D394:D397&lt;&gt; ""))</f>
        <v>G4010. Electrical Distribution - Elinstallation &amp; Fordeling</v>
      </c>
      <c r="H393" s="4" t="str">
        <v>G4020. Exterior Lighting – Udvendige Belysning</v>
      </c>
      <c r="I393" s="4" t="str">
        <v>G4030. Exterior Communications &amp; Security – Udvendige Kommunikation &amp; Sikringsanlæg</v>
      </c>
      <c r="J393" s="4" t="str">
        <v>G4040. Other Electrical Utilities – Øvrige El installationer</v>
      </c>
    </row>
    <row r="394" spans="2:10" ht="30" hidden="1" customHeight="1" outlineLevel="2" x14ac:dyDescent="0.2">
      <c r="B394" s="11">
        <f t="shared" si="6"/>
        <v>391</v>
      </c>
      <c r="C394" s="12" t="s">
        <v>782</v>
      </c>
      <c r="D394" s="97" t="s">
        <v>946</v>
      </c>
      <c r="E394" s="12" t="s">
        <v>783</v>
      </c>
      <c r="F394" s="97" t="s">
        <v>839</v>
      </c>
    </row>
    <row r="395" spans="2:10" ht="30" hidden="1" customHeight="1" outlineLevel="2" x14ac:dyDescent="0.2">
      <c r="B395" s="11">
        <f t="shared" si="6"/>
        <v>392</v>
      </c>
      <c r="C395" s="12" t="s">
        <v>784</v>
      </c>
      <c r="D395" s="97" t="s">
        <v>947</v>
      </c>
      <c r="E395" s="12" t="s">
        <v>785</v>
      </c>
      <c r="F395" s="97" t="s">
        <v>839</v>
      </c>
    </row>
    <row r="396" spans="2:10" ht="30" hidden="1" customHeight="1" outlineLevel="2" x14ac:dyDescent="0.2">
      <c r="B396" s="11">
        <f t="shared" si="6"/>
        <v>393</v>
      </c>
      <c r="C396" s="12" t="s">
        <v>786</v>
      </c>
      <c r="D396" s="97" t="s">
        <v>1211</v>
      </c>
      <c r="E396" s="12" t="s">
        <v>787</v>
      </c>
      <c r="F396" s="97" t="s">
        <v>839</v>
      </c>
    </row>
    <row r="397" spans="2:10" ht="30" hidden="1" customHeight="1" outlineLevel="2" x14ac:dyDescent="0.2">
      <c r="B397" s="11">
        <f t="shared" si="6"/>
        <v>394</v>
      </c>
      <c r="C397" s="12" t="s">
        <v>788</v>
      </c>
      <c r="D397" s="97" t="s">
        <v>1215</v>
      </c>
      <c r="E397" s="12" t="s">
        <v>789</v>
      </c>
      <c r="F397" s="97" t="s">
        <v>839</v>
      </c>
    </row>
    <row r="398" spans="2:10" ht="30" customHeight="1" outlineLevel="1" collapsed="1" x14ac:dyDescent="0.2">
      <c r="B398" s="9">
        <f t="shared" si="6"/>
        <v>395</v>
      </c>
      <c r="C398" s="10" t="s">
        <v>790</v>
      </c>
      <c r="D398" s="67" t="s">
        <v>861</v>
      </c>
      <c r="E398" s="10" t="s">
        <v>791</v>
      </c>
      <c r="F398" s="67" t="s">
        <v>839</v>
      </c>
      <c r="G398" s="4" t="str" cm="1">
        <f t="array" ref="G398:H398">TRANSPOSE(_xlfn._xlws.FILTER(D399:D404,D399:D404&lt;&gt; ""))</f>
        <v>G5010. Service Tunnels – Service Tunneler</v>
      </c>
      <c r="H398" s="4" t="str">
        <v>G5020. Other Site Systems &amp; Equipment – Øvrige Terræn Systemer &amp; Inventar</v>
      </c>
    </row>
    <row r="399" spans="2:10" ht="30" hidden="1" customHeight="1" outlineLevel="2" x14ac:dyDescent="0.2">
      <c r="B399" s="11">
        <f t="shared" si="6"/>
        <v>396</v>
      </c>
      <c r="C399" s="12" t="s">
        <v>792</v>
      </c>
      <c r="D399" s="97" t="s">
        <v>862</v>
      </c>
      <c r="E399" s="12" t="s">
        <v>793</v>
      </c>
      <c r="F399" s="97" t="s">
        <v>839</v>
      </c>
    </row>
    <row r="400" spans="2:10" ht="30" hidden="1" customHeight="1" outlineLevel="3" x14ac:dyDescent="0.2">
      <c r="B400" s="13">
        <f t="shared" si="6"/>
        <v>397</v>
      </c>
      <c r="C400" s="14"/>
      <c r="D400" s="15"/>
      <c r="E400" s="15"/>
      <c r="F400" s="15"/>
    </row>
    <row r="401" spans="2:14" ht="30" hidden="1" customHeight="1" outlineLevel="3" x14ac:dyDescent="0.2">
      <c r="B401" s="13">
        <f t="shared" si="6"/>
        <v>398</v>
      </c>
      <c r="C401" s="14"/>
      <c r="D401" s="15"/>
      <c r="E401" s="15"/>
      <c r="F401" s="15"/>
    </row>
    <row r="402" spans="2:14" ht="30" hidden="1" customHeight="1" outlineLevel="2" collapsed="1" x14ac:dyDescent="0.2">
      <c r="B402" s="11">
        <f t="shared" si="6"/>
        <v>399</v>
      </c>
      <c r="C402" s="12" t="s">
        <v>798</v>
      </c>
      <c r="D402" s="97" t="s">
        <v>1218</v>
      </c>
      <c r="E402" s="12" t="s">
        <v>799</v>
      </c>
      <c r="F402" s="97" t="s">
        <v>839</v>
      </c>
    </row>
    <row r="403" spans="2:14" ht="30" hidden="1" customHeight="1" outlineLevel="3" x14ac:dyDescent="0.2">
      <c r="B403" s="13">
        <f t="shared" si="6"/>
        <v>400</v>
      </c>
      <c r="C403" s="14"/>
      <c r="D403" s="15"/>
      <c r="E403" s="15"/>
      <c r="F403" s="15"/>
    </row>
    <row r="404" spans="2:14" ht="30" hidden="1" customHeight="1" outlineLevel="3" x14ac:dyDescent="0.2">
      <c r="B404" s="13">
        <f t="shared" si="6"/>
        <v>401</v>
      </c>
      <c r="C404" s="14"/>
      <c r="D404" s="15"/>
      <c r="E404" s="15"/>
      <c r="F404" s="15"/>
    </row>
    <row r="405" spans="2:14" ht="30" customHeight="1" x14ac:dyDescent="0.2">
      <c r="B405" s="7">
        <v>399</v>
      </c>
      <c r="C405" s="8" t="s">
        <v>804</v>
      </c>
      <c r="D405" s="96" t="s">
        <v>835</v>
      </c>
      <c r="E405" s="22" t="s">
        <v>805</v>
      </c>
      <c r="F405" s="102" t="s">
        <v>835</v>
      </c>
    </row>
    <row r="406" spans="2:14" ht="30" customHeight="1" outlineLevel="1" x14ac:dyDescent="0.2">
      <c r="B406" s="9">
        <v>400</v>
      </c>
      <c r="C406" s="10" t="s">
        <v>806</v>
      </c>
      <c r="D406" s="67" t="s">
        <v>836</v>
      </c>
      <c r="E406" s="10" t="s">
        <v>807</v>
      </c>
      <c r="F406" s="67" t="s">
        <v>835</v>
      </c>
    </row>
    <row r="407" spans="2:14" ht="30" customHeight="1" outlineLevel="1" x14ac:dyDescent="0.2">
      <c r="B407" s="9">
        <v>401</v>
      </c>
      <c r="C407" s="10" t="s">
        <v>808</v>
      </c>
      <c r="D407" s="67" t="s">
        <v>837</v>
      </c>
      <c r="E407" s="10" t="s">
        <v>809</v>
      </c>
      <c r="F407" s="67" t="s">
        <v>835</v>
      </c>
    </row>
    <row r="408" spans="2:14" ht="30" customHeight="1" outlineLevel="1" x14ac:dyDescent="0.2">
      <c r="B408" s="9">
        <v>402</v>
      </c>
      <c r="C408" s="10" t="s">
        <v>810</v>
      </c>
      <c r="D408" s="67" t="s">
        <v>838</v>
      </c>
      <c r="E408" s="10" t="s">
        <v>811</v>
      </c>
      <c r="F408" s="67" t="s">
        <v>835</v>
      </c>
      <c r="N408" s="4" t="b">
        <f>ISBLANK(O408)</f>
        <v>1</v>
      </c>
    </row>
  </sheetData>
  <autoFilter ref="B3:E402" xr:uid="{00000000-0009-0000-0000-000000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W408"/>
  <sheetViews>
    <sheetView topLeftCell="A386" workbookViewId="0">
      <selection activeCell="F13" sqref="F13"/>
    </sheetView>
  </sheetViews>
  <sheetFormatPr defaultColWidth="9.140625" defaultRowHeight="12.75" outlineLevelRow="4" x14ac:dyDescent="0.2"/>
  <cols>
    <col min="1" max="1" width="9.140625" style="4"/>
    <col min="2" max="2" width="12.140625" style="50" customWidth="1"/>
    <col min="3" max="3" width="15.140625" style="2" bestFit="1" customWidth="1"/>
    <col min="4" max="4" width="72.140625" style="66" customWidth="1"/>
    <col min="5" max="5" width="71.140625" style="3" customWidth="1"/>
    <col min="6" max="6" width="49.28515625" style="54" customWidth="1"/>
    <col min="7" max="16384" width="9.140625" style="4"/>
  </cols>
  <sheetData>
    <row r="1" spans="2:23" ht="26.25" customHeight="1" x14ac:dyDescent="0.2">
      <c r="B1" s="1" t="s">
        <v>0</v>
      </c>
    </row>
    <row r="3" spans="2:23" s="6" customFormat="1" ht="45" customHeight="1" x14ac:dyDescent="0.25">
      <c r="B3" s="5" t="s">
        <v>1</v>
      </c>
      <c r="C3" s="5" t="s">
        <v>2</v>
      </c>
      <c r="D3" s="95" t="s">
        <v>3</v>
      </c>
      <c r="E3" s="5" t="s">
        <v>4</v>
      </c>
      <c r="F3" s="95" t="s">
        <v>1327</v>
      </c>
    </row>
    <row r="4" spans="2:23" ht="30" customHeight="1" x14ac:dyDescent="0.2">
      <c r="B4" s="7">
        <v>1</v>
      </c>
      <c r="C4" s="8" t="s">
        <v>5</v>
      </c>
      <c r="D4" s="96" t="s">
        <v>851</v>
      </c>
      <c r="E4" s="8" t="s">
        <v>6</v>
      </c>
      <c r="F4" s="96" t="s">
        <v>851</v>
      </c>
    </row>
    <row r="5" spans="2:23" ht="30" customHeight="1" outlineLevel="1" x14ac:dyDescent="0.2">
      <c r="B5" s="9">
        <f>B4+1</f>
        <v>2</v>
      </c>
      <c r="C5" s="10" t="s">
        <v>7</v>
      </c>
      <c r="D5" s="67" t="s">
        <v>852</v>
      </c>
      <c r="E5" s="10" t="s">
        <v>8</v>
      </c>
      <c r="F5" s="67" t="s">
        <v>851</v>
      </c>
    </row>
    <row r="6" spans="2:23" ht="30" customHeight="1" outlineLevel="2" x14ac:dyDescent="0.2">
      <c r="B6" s="11">
        <f t="shared" ref="B6:B69" si="0">B5+1</f>
        <v>3</v>
      </c>
      <c r="C6" s="12" t="s">
        <v>9</v>
      </c>
      <c r="D6" s="97" t="s">
        <v>853</v>
      </c>
      <c r="E6" s="12" t="s">
        <v>10</v>
      </c>
      <c r="F6" s="97" t="s">
        <v>851</v>
      </c>
    </row>
    <row r="7" spans="2:23" ht="30" hidden="1" customHeight="1" outlineLevel="3" x14ac:dyDescent="0.2">
      <c r="B7" s="13">
        <f t="shared" si="0"/>
        <v>4</v>
      </c>
      <c r="C7" s="14" t="s">
        <v>11</v>
      </c>
      <c r="D7" s="15" t="s">
        <v>854</v>
      </c>
      <c r="E7" s="15" t="s">
        <v>12</v>
      </c>
      <c r="F7" s="15" t="s">
        <v>851</v>
      </c>
    </row>
    <row r="8" spans="2:23" ht="30" hidden="1" customHeight="1" outlineLevel="3" x14ac:dyDescent="0.2">
      <c r="B8" s="13">
        <f t="shared" si="0"/>
        <v>5</v>
      </c>
      <c r="C8" s="14" t="s">
        <v>13</v>
      </c>
      <c r="D8" s="15" t="s">
        <v>855</v>
      </c>
      <c r="E8" s="15" t="s">
        <v>14</v>
      </c>
      <c r="F8" s="15" t="s">
        <v>851</v>
      </c>
    </row>
    <row r="9" spans="2:23" ht="30" hidden="1" customHeight="1" outlineLevel="3" x14ac:dyDescent="0.2">
      <c r="B9" s="13">
        <f t="shared" si="0"/>
        <v>6</v>
      </c>
      <c r="C9" s="14" t="s">
        <v>15</v>
      </c>
      <c r="D9" s="15" t="s">
        <v>856</v>
      </c>
      <c r="E9" s="15" t="s">
        <v>16</v>
      </c>
      <c r="F9" s="15" t="s">
        <v>851</v>
      </c>
    </row>
    <row r="10" spans="2:23" ht="30" hidden="1" customHeight="1" outlineLevel="3" x14ac:dyDescent="0.2">
      <c r="B10" s="13">
        <f t="shared" si="0"/>
        <v>7</v>
      </c>
      <c r="C10" s="14" t="s">
        <v>17</v>
      </c>
      <c r="D10" s="15" t="s">
        <v>857</v>
      </c>
      <c r="E10" s="15" t="s">
        <v>18</v>
      </c>
      <c r="F10" s="15" t="s">
        <v>851</v>
      </c>
    </row>
    <row r="11" spans="2:23" ht="30" hidden="1" customHeight="1" outlineLevel="3" x14ac:dyDescent="0.2">
      <c r="B11" s="13">
        <f t="shared" si="0"/>
        <v>8</v>
      </c>
      <c r="C11" s="14" t="s">
        <v>19</v>
      </c>
      <c r="D11" s="15" t="s">
        <v>1223</v>
      </c>
      <c r="E11" s="15" t="s">
        <v>20</v>
      </c>
      <c r="F11" s="15" t="s">
        <v>851</v>
      </c>
    </row>
    <row r="12" spans="2:23" ht="30" hidden="1" customHeight="1" outlineLevel="3" x14ac:dyDescent="0.2">
      <c r="B12" s="13">
        <f t="shared" si="0"/>
        <v>9</v>
      </c>
      <c r="C12" s="14" t="s">
        <v>21</v>
      </c>
      <c r="D12" s="15" t="s">
        <v>1216</v>
      </c>
      <c r="E12" s="15" t="s">
        <v>22</v>
      </c>
      <c r="F12" s="15" t="s">
        <v>851</v>
      </c>
    </row>
    <row r="13" spans="2:23" ht="30" customHeight="1" outlineLevel="2" collapsed="1" x14ac:dyDescent="0.2">
      <c r="B13" s="11">
        <f t="shared" si="0"/>
        <v>10</v>
      </c>
      <c r="C13" s="12" t="s">
        <v>23</v>
      </c>
      <c r="D13" s="97" t="s">
        <v>1204</v>
      </c>
      <c r="E13" s="12" t="s">
        <v>24</v>
      </c>
      <c r="F13" s="97" t="s">
        <v>851</v>
      </c>
      <c r="R13" s="4">
        <v>25000</v>
      </c>
      <c r="S13" s="4">
        <v>7.5</v>
      </c>
      <c r="T13" s="4">
        <v>15</v>
      </c>
      <c r="U13" s="4">
        <v>30</v>
      </c>
      <c r="V13" s="4">
        <f>(S13+T13*3+U13)/5</f>
        <v>16.5</v>
      </c>
      <c r="W13" s="4">
        <f>V13*R13</f>
        <v>412500</v>
      </c>
    </row>
    <row r="14" spans="2:23" ht="30" customHeight="1" outlineLevel="2" x14ac:dyDescent="0.2">
      <c r="B14" s="16">
        <f t="shared" si="0"/>
        <v>11</v>
      </c>
      <c r="C14" s="17" t="s">
        <v>25</v>
      </c>
      <c r="D14" s="31" t="s">
        <v>858</v>
      </c>
      <c r="E14" s="17" t="s">
        <v>26</v>
      </c>
      <c r="F14" s="31" t="s">
        <v>851</v>
      </c>
    </row>
    <row r="15" spans="2:23" ht="30" hidden="1" customHeight="1" outlineLevel="3" x14ac:dyDescent="0.2">
      <c r="B15" s="18">
        <f t="shared" si="0"/>
        <v>12</v>
      </c>
      <c r="C15" s="19" t="s">
        <v>27</v>
      </c>
      <c r="D15" s="98" t="s">
        <v>859</v>
      </c>
      <c r="E15" s="15" t="s">
        <v>28</v>
      </c>
      <c r="F15" s="15" t="s">
        <v>851</v>
      </c>
    </row>
    <row r="16" spans="2:23" ht="30" hidden="1" customHeight="1" outlineLevel="3" x14ac:dyDescent="0.2">
      <c r="B16" s="18">
        <f t="shared" si="0"/>
        <v>13</v>
      </c>
      <c r="C16" s="19" t="s">
        <v>29</v>
      </c>
      <c r="D16" s="98" t="s">
        <v>860</v>
      </c>
      <c r="E16" s="15" t="s">
        <v>30</v>
      </c>
      <c r="F16" s="15" t="s">
        <v>851</v>
      </c>
    </row>
    <row r="17" spans="2:6" ht="30" hidden="1" customHeight="1" outlineLevel="3" x14ac:dyDescent="0.2">
      <c r="B17" s="18">
        <f t="shared" si="0"/>
        <v>14</v>
      </c>
      <c r="C17" s="19" t="s">
        <v>31</v>
      </c>
      <c r="D17" s="98" t="s">
        <v>865</v>
      </c>
      <c r="E17" s="15" t="s">
        <v>32</v>
      </c>
      <c r="F17" s="15" t="s">
        <v>851</v>
      </c>
    </row>
    <row r="18" spans="2:6" ht="30" hidden="1" customHeight="1" outlineLevel="3" x14ac:dyDescent="0.2">
      <c r="B18" s="18">
        <f t="shared" si="0"/>
        <v>15</v>
      </c>
      <c r="C18" s="19" t="s">
        <v>33</v>
      </c>
      <c r="D18" s="98" t="s">
        <v>866</v>
      </c>
      <c r="E18" s="15" t="s">
        <v>34</v>
      </c>
      <c r="F18" s="15" t="s">
        <v>851</v>
      </c>
    </row>
    <row r="19" spans="2:6" ht="30" customHeight="1" outlineLevel="1" x14ac:dyDescent="0.2">
      <c r="B19" s="9">
        <f t="shared" si="0"/>
        <v>16</v>
      </c>
      <c r="C19" s="10" t="s">
        <v>35</v>
      </c>
      <c r="D19" s="67" t="s">
        <v>867</v>
      </c>
      <c r="E19" s="10" t="s">
        <v>36</v>
      </c>
      <c r="F19" s="67" t="s">
        <v>851</v>
      </c>
    </row>
    <row r="20" spans="2:6" ht="30" customHeight="1" outlineLevel="2" x14ac:dyDescent="0.2">
      <c r="B20" s="20">
        <f t="shared" si="0"/>
        <v>17</v>
      </c>
      <c r="C20" s="21" t="s">
        <v>37</v>
      </c>
      <c r="D20" s="99" t="s">
        <v>1298</v>
      </c>
      <c r="E20" s="21" t="s">
        <v>38</v>
      </c>
      <c r="F20" s="99" t="s">
        <v>851</v>
      </c>
    </row>
    <row r="21" spans="2:6" ht="30" customHeight="1" outlineLevel="2" x14ac:dyDescent="0.2">
      <c r="B21" s="11">
        <f t="shared" si="0"/>
        <v>18</v>
      </c>
      <c r="C21" s="12" t="s">
        <v>39</v>
      </c>
      <c r="D21" s="97" t="s">
        <v>868</v>
      </c>
      <c r="E21" s="12" t="s">
        <v>40</v>
      </c>
      <c r="F21" s="97" t="s">
        <v>851</v>
      </c>
    </row>
    <row r="22" spans="2:6" ht="30" hidden="1" customHeight="1" outlineLevel="3" collapsed="1" x14ac:dyDescent="0.2">
      <c r="B22" s="13">
        <f t="shared" si="0"/>
        <v>19</v>
      </c>
      <c r="C22" s="14" t="s">
        <v>41</v>
      </c>
      <c r="D22" s="15" t="s">
        <v>869</v>
      </c>
      <c r="E22" s="15" t="s">
        <v>42</v>
      </c>
      <c r="F22" s="15" t="s">
        <v>851</v>
      </c>
    </row>
    <row r="23" spans="2:6" ht="30" hidden="1" customHeight="1" outlineLevel="3" x14ac:dyDescent="0.2">
      <c r="B23" s="13">
        <f t="shared" si="0"/>
        <v>20</v>
      </c>
      <c r="C23" s="14" t="s">
        <v>43</v>
      </c>
      <c r="D23" s="15" t="s">
        <v>878</v>
      </c>
      <c r="E23" s="15" t="s">
        <v>44</v>
      </c>
      <c r="F23" s="15" t="s">
        <v>851</v>
      </c>
    </row>
    <row r="24" spans="2:6" ht="30" hidden="1" customHeight="1" outlineLevel="3" x14ac:dyDescent="0.2">
      <c r="B24" s="13">
        <f t="shared" si="0"/>
        <v>21</v>
      </c>
      <c r="C24" s="14" t="s">
        <v>45</v>
      </c>
      <c r="D24" s="15" t="s">
        <v>891</v>
      </c>
      <c r="E24" s="14" t="s">
        <v>46</v>
      </c>
      <c r="F24" s="15" t="s">
        <v>851</v>
      </c>
    </row>
    <row r="25" spans="2:6" ht="30" hidden="1" customHeight="1" outlineLevel="3" x14ac:dyDescent="0.2">
      <c r="B25" s="13">
        <f t="shared" si="0"/>
        <v>22</v>
      </c>
      <c r="C25" s="14" t="s">
        <v>47</v>
      </c>
      <c r="D25" s="15" t="s">
        <v>892</v>
      </c>
      <c r="E25" s="14" t="s">
        <v>48</v>
      </c>
      <c r="F25" s="15" t="s">
        <v>851</v>
      </c>
    </row>
    <row r="26" spans="2:6" ht="30" hidden="1" customHeight="1" outlineLevel="3" x14ac:dyDescent="0.2">
      <c r="B26" s="13">
        <f t="shared" si="0"/>
        <v>23</v>
      </c>
      <c r="C26" s="14" t="s">
        <v>49</v>
      </c>
      <c r="D26" s="15" t="s">
        <v>879</v>
      </c>
      <c r="E26" s="14" t="s">
        <v>50</v>
      </c>
      <c r="F26" s="15" t="s">
        <v>851</v>
      </c>
    </row>
    <row r="27" spans="2:6" ht="30" hidden="1" customHeight="1" outlineLevel="3" x14ac:dyDescent="0.2">
      <c r="B27" s="13">
        <f t="shared" si="0"/>
        <v>24</v>
      </c>
      <c r="C27" s="14" t="s">
        <v>51</v>
      </c>
      <c r="D27" s="15" t="s">
        <v>893</v>
      </c>
      <c r="E27" s="14" t="s">
        <v>52</v>
      </c>
      <c r="F27" s="15" t="s">
        <v>851</v>
      </c>
    </row>
    <row r="28" spans="2:6" ht="30" hidden="1" customHeight="1" outlineLevel="3" x14ac:dyDescent="0.2">
      <c r="B28" s="13">
        <f t="shared" si="0"/>
        <v>25</v>
      </c>
      <c r="C28" s="14" t="s">
        <v>53</v>
      </c>
      <c r="D28" s="15" t="s">
        <v>1156</v>
      </c>
      <c r="E28" s="14" t="s">
        <v>54</v>
      </c>
      <c r="F28" s="15" t="s">
        <v>851</v>
      </c>
    </row>
    <row r="29" spans="2:6" ht="30" hidden="1" customHeight="1" outlineLevel="3" x14ac:dyDescent="0.2">
      <c r="B29" s="13">
        <f t="shared" si="0"/>
        <v>26</v>
      </c>
      <c r="C29" s="14" t="s">
        <v>55</v>
      </c>
      <c r="D29" s="15" t="s">
        <v>1160</v>
      </c>
      <c r="E29" s="14" t="s">
        <v>56</v>
      </c>
      <c r="F29" s="15" t="s">
        <v>851</v>
      </c>
    </row>
    <row r="30" spans="2:6" ht="30" hidden="1" customHeight="1" outlineLevel="3" x14ac:dyDescent="0.2">
      <c r="B30" s="13">
        <f t="shared" si="0"/>
        <v>27</v>
      </c>
      <c r="C30" s="14" t="s">
        <v>57</v>
      </c>
      <c r="D30" s="15" t="s">
        <v>1205</v>
      </c>
      <c r="E30" s="14" t="s">
        <v>58</v>
      </c>
      <c r="F30" s="15" t="s">
        <v>851</v>
      </c>
    </row>
    <row r="31" spans="2:6" ht="30" hidden="1" customHeight="1" outlineLevel="3" x14ac:dyDescent="0.2">
      <c r="B31" s="13">
        <f t="shared" si="0"/>
        <v>28</v>
      </c>
      <c r="C31" s="14" t="s">
        <v>59</v>
      </c>
      <c r="D31" s="15" t="s">
        <v>1228</v>
      </c>
      <c r="E31" s="14" t="s">
        <v>60</v>
      </c>
      <c r="F31" s="15" t="s">
        <v>851</v>
      </c>
    </row>
    <row r="32" spans="2:6" ht="30" hidden="1" customHeight="1" outlineLevel="3" x14ac:dyDescent="0.2">
      <c r="B32" s="13">
        <f t="shared" si="0"/>
        <v>29</v>
      </c>
      <c r="C32" s="14" t="s">
        <v>61</v>
      </c>
      <c r="D32" s="15" t="s">
        <v>1229</v>
      </c>
      <c r="E32" s="14" t="s">
        <v>62</v>
      </c>
      <c r="F32" s="15" t="s">
        <v>851</v>
      </c>
    </row>
    <row r="33" spans="2:9" ht="30" customHeight="1" x14ac:dyDescent="0.2">
      <c r="B33" s="7">
        <f t="shared" si="0"/>
        <v>30</v>
      </c>
      <c r="C33" s="8" t="s">
        <v>63</v>
      </c>
      <c r="D33" s="96" t="s">
        <v>870</v>
      </c>
      <c r="E33" s="22" t="s">
        <v>64</v>
      </c>
      <c r="F33" s="102" t="s">
        <v>870</v>
      </c>
    </row>
    <row r="34" spans="2:9" ht="30" customHeight="1" outlineLevel="1" x14ac:dyDescent="0.2">
      <c r="B34" s="9">
        <f t="shared" si="0"/>
        <v>31</v>
      </c>
      <c r="C34" s="10" t="s">
        <v>65</v>
      </c>
      <c r="D34" s="67" t="s">
        <v>874</v>
      </c>
      <c r="E34" s="10" t="s">
        <v>66</v>
      </c>
      <c r="F34" s="67" t="s">
        <v>870</v>
      </c>
      <c r="I34" s="32"/>
    </row>
    <row r="35" spans="2:9" ht="30" customHeight="1" outlineLevel="2" x14ac:dyDescent="0.2">
      <c r="B35" s="11">
        <f t="shared" si="0"/>
        <v>32</v>
      </c>
      <c r="C35" s="12" t="s">
        <v>67</v>
      </c>
      <c r="D35" s="97" t="s">
        <v>875</v>
      </c>
      <c r="E35" s="23" t="s">
        <v>68</v>
      </c>
      <c r="F35" s="103" t="s">
        <v>870</v>
      </c>
    </row>
    <row r="36" spans="2:9" ht="30" customHeight="1" outlineLevel="3" x14ac:dyDescent="0.2">
      <c r="B36" s="13">
        <f t="shared" si="0"/>
        <v>33</v>
      </c>
      <c r="C36" s="14" t="s">
        <v>69</v>
      </c>
      <c r="D36" s="15" t="s">
        <v>876</v>
      </c>
      <c r="E36" s="15" t="s">
        <v>70</v>
      </c>
      <c r="F36" s="15" t="s">
        <v>870</v>
      </c>
    </row>
    <row r="37" spans="2:9" ht="30" customHeight="1" outlineLevel="3" x14ac:dyDescent="0.2">
      <c r="B37" s="13">
        <f t="shared" si="0"/>
        <v>34</v>
      </c>
      <c r="C37" s="14" t="s">
        <v>71</v>
      </c>
      <c r="D37" s="15" t="s">
        <v>877</v>
      </c>
      <c r="E37" s="15" t="s">
        <v>72</v>
      </c>
      <c r="F37" s="15" t="s">
        <v>870</v>
      </c>
    </row>
    <row r="38" spans="2:9" ht="30" customHeight="1" outlineLevel="3" x14ac:dyDescent="0.2">
      <c r="B38" s="13">
        <f t="shared" si="0"/>
        <v>35</v>
      </c>
      <c r="C38" s="14" t="s">
        <v>73</v>
      </c>
      <c r="D38" s="15" t="s">
        <v>884</v>
      </c>
      <c r="E38" s="14" t="s">
        <v>74</v>
      </c>
      <c r="F38" s="15" t="s">
        <v>870</v>
      </c>
    </row>
    <row r="39" spans="2:9" ht="30" customHeight="1" outlineLevel="3" x14ac:dyDescent="0.2">
      <c r="B39" s="13">
        <f t="shared" si="0"/>
        <v>36</v>
      </c>
      <c r="C39" s="14" t="s">
        <v>75</v>
      </c>
      <c r="D39" s="15" t="s">
        <v>889</v>
      </c>
      <c r="E39" s="14" t="s">
        <v>76</v>
      </c>
      <c r="F39" s="15" t="s">
        <v>870</v>
      </c>
    </row>
    <row r="40" spans="2:9" ht="30" customHeight="1" outlineLevel="3" x14ac:dyDescent="0.2">
      <c r="B40" s="13">
        <f t="shared" si="0"/>
        <v>37</v>
      </c>
      <c r="C40" s="14" t="s">
        <v>77</v>
      </c>
      <c r="D40" s="15" t="s">
        <v>896</v>
      </c>
      <c r="E40" s="14" t="s">
        <v>78</v>
      </c>
      <c r="F40" s="15" t="s">
        <v>870</v>
      </c>
    </row>
    <row r="41" spans="2:9" ht="30" customHeight="1" outlineLevel="3" x14ac:dyDescent="0.2">
      <c r="B41" s="13">
        <f t="shared" si="0"/>
        <v>38</v>
      </c>
      <c r="C41" s="14" t="s">
        <v>79</v>
      </c>
      <c r="D41" s="15" t="s">
        <v>898</v>
      </c>
      <c r="E41" s="14" t="s">
        <v>80</v>
      </c>
      <c r="F41" s="15" t="s">
        <v>870</v>
      </c>
      <c r="G41" s="32"/>
    </row>
    <row r="42" spans="2:9" ht="30" customHeight="1" outlineLevel="3" x14ac:dyDescent="0.2">
      <c r="B42" s="13">
        <f t="shared" si="0"/>
        <v>39</v>
      </c>
      <c r="C42" s="14" t="s">
        <v>81</v>
      </c>
      <c r="D42" s="15" t="s">
        <v>900</v>
      </c>
      <c r="E42" s="14" t="s">
        <v>82</v>
      </c>
      <c r="F42" s="15" t="s">
        <v>870</v>
      </c>
    </row>
    <row r="43" spans="2:9" ht="30" customHeight="1" outlineLevel="3" x14ac:dyDescent="0.2">
      <c r="B43" s="13">
        <f t="shared" si="0"/>
        <v>40</v>
      </c>
      <c r="C43" s="14" t="s">
        <v>83</v>
      </c>
      <c r="D43" s="15" t="s">
        <v>901</v>
      </c>
      <c r="E43" s="14" t="s">
        <v>84</v>
      </c>
      <c r="F43" s="15" t="s">
        <v>870</v>
      </c>
    </row>
    <row r="44" spans="2:9" ht="30" customHeight="1" outlineLevel="3" x14ac:dyDescent="0.2">
      <c r="B44" s="13">
        <f t="shared" si="0"/>
        <v>41</v>
      </c>
      <c r="C44" s="14" t="s">
        <v>85</v>
      </c>
      <c r="D44" s="15" t="s">
        <v>1154</v>
      </c>
      <c r="E44" s="14" t="s">
        <v>86</v>
      </c>
      <c r="F44" s="15" t="s">
        <v>870</v>
      </c>
    </row>
    <row r="45" spans="2:9" ht="30" customHeight="1" outlineLevel="3" x14ac:dyDescent="0.2">
      <c r="B45" s="13">
        <f t="shared" si="0"/>
        <v>42</v>
      </c>
      <c r="C45" s="14" t="s">
        <v>87</v>
      </c>
      <c r="D45" s="15" t="s">
        <v>1158</v>
      </c>
      <c r="E45" s="14" t="s">
        <v>88</v>
      </c>
      <c r="F45" s="15" t="s">
        <v>870</v>
      </c>
    </row>
    <row r="46" spans="2:9" ht="30" customHeight="1" outlineLevel="3" x14ac:dyDescent="0.2">
      <c r="B46" s="13">
        <f t="shared" si="0"/>
        <v>43</v>
      </c>
      <c r="C46" s="14" t="s">
        <v>89</v>
      </c>
      <c r="D46" s="15" t="s">
        <v>1202</v>
      </c>
      <c r="E46" s="14" t="s">
        <v>90</v>
      </c>
      <c r="F46" s="15" t="s">
        <v>870</v>
      </c>
    </row>
    <row r="47" spans="2:9" ht="30" customHeight="1" outlineLevel="3" x14ac:dyDescent="0.2">
      <c r="B47" s="13">
        <f t="shared" si="0"/>
        <v>44</v>
      </c>
      <c r="C47" s="14" t="s">
        <v>91</v>
      </c>
      <c r="D47" s="15" t="s">
        <v>1191</v>
      </c>
      <c r="E47" s="14" t="s">
        <v>92</v>
      </c>
      <c r="F47" s="15" t="s">
        <v>870</v>
      </c>
    </row>
    <row r="48" spans="2:9" ht="30" customHeight="1" outlineLevel="3" x14ac:dyDescent="0.2">
      <c r="B48" s="13">
        <f t="shared" si="0"/>
        <v>45</v>
      </c>
      <c r="C48" s="14" t="s">
        <v>93</v>
      </c>
      <c r="D48" s="15" t="s">
        <v>1082</v>
      </c>
      <c r="E48" s="14" t="s">
        <v>94</v>
      </c>
      <c r="F48" s="15" t="s">
        <v>870</v>
      </c>
    </row>
    <row r="49" spans="1:6" ht="30" customHeight="1" outlineLevel="3" x14ac:dyDescent="0.2">
      <c r="B49" s="13">
        <f t="shared" si="0"/>
        <v>46</v>
      </c>
      <c r="C49" s="14" t="s">
        <v>95</v>
      </c>
      <c r="D49" s="15" t="s">
        <v>1225</v>
      </c>
      <c r="E49" s="14" t="s">
        <v>96</v>
      </c>
      <c r="F49" s="15" t="s">
        <v>870</v>
      </c>
    </row>
    <row r="50" spans="1:6" ht="30" customHeight="1" outlineLevel="2" x14ac:dyDescent="0.2">
      <c r="B50" s="11">
        <f t="shared" si="0"/>
        <v>47</v>
      </c>
      <c r="C50" s="12" t="s">
        <v>97</v>
      </c>
      <c r="D50" s="97" t="s">
        <v>1155</v>
      </c>
      <c r="E50" s="23" t="s">
        <v>98</v>
      </c>
      <c r="F50" s="103" t="s">
        <v>1323</v>
      </c>
    </row>
    <row r="51" spans="1:6" ht="30" hidden="1" customHeight="1" outlineLevel="3" x14ac:dyDescent="0.2">
      <c r="B51" s="13">
        <f t="shared" si="0"/>
        <v>48</v>
      </c>
      <c r="C51" s="14" t="s">
        <v>99</v>
      </c>
      <c r="D51" s="15" t="s">
        <v>1157</v>
      </c>
      <c r="E51" s="14" t="s">
        <v>100</v>
      </c>
      <c r="F51" s="15" t="s">
        <v>1323</v>
      </c>
    </row>
    <row r="52" spans="1:6" ht="30" hidden="1" customHeight="1" outlineLevel="3" x14ac:dyDescent="0.2">
      <c r="B52" s="13">
        <f t="shared" si="0"/>
        <v>49</v>
      </c>
      <c r="C52" s="14" t="s">
        <v>101</v>
      </c>
      <c r="D52" s="15" t="s">
        <v>1206</v>
      </c>
      <c r="E52" s="14" t="s">
        <v>102</v>
      </c>
      <c r="F52" s="15" t="s">
        <v>1323</v>
      </c>
    </row>
    <row r="53" spans="1:6" ht="30" customHeight="1" outlineLevel="1" x14ac:dyDescent="0.2">
      <c r="B53" s="9">
        <f t="shared" si="0"/>
        <v>50</v>
      </c>
      <c r="C53" s="10" t="s">
        <v>103</v>
      </c>
      <c r="D53" s="67" t="s">
        <v>881</v>
      </c>
      <c r="E53" s="10" t="s">
        <v>104</v>
      </c>
      <c r="F53" s="67" t="s">
        <v>1323</v>
      </c>
    </row>
    <row r="54" spans="1:6" ht="30" customHeight="1" outlineLevel="2" x14ac:dyDescent="0.2">
      <c r="B54" s="11">
        <f t="shared" si="0"/>
        <v>51</v>
      </c>
      <c r="C54" s="12" t="s">
        <v>105</v>
      </c>
      <c r="D54" s="97" t="s">
        <v>882</v>
      </c>
      <c r="E54" s="23" t="s">
        <v>106</v>
      </c>
      <c r="F54" s="103" t="s">
        <v>1323</v>
      </c>
    </row>
    <row r="55" spans="1:6" s="85" customFormat="1" ht="30" customHeight="1" outlineLevel="3" x14ac:dyDescent="0.2">
      <c r="A55" s="89" t="s">
        <v>65</v>
      </c>
      <c r="B55" s="86">
        <f t="shared" si="0"/>
        <v>52</v>
      </c>
      <c r="C55" s="87" t="s">
        <v>107</v>
      </c>
      <c r="D55" s="88" t="s">
        <v>883</v>
      </c>
      <c r="E55" s="87" t="s">
        <v>108</v>
      </c>
      <c r="F55" s="88" t="s">
        <v>870</v>
      </c>
    </row>
    <row r="56" spans="1:6" s="85" customFormat="1" ht="30" customHeight="1" outlineLevel="3" x14ac:dyDescent="0.2">
      <c r="A56" s="89" t="s">
        <v>65</v>
      </c>
      <c r="B56" s="86">
        <f t="shared" si="0"/>
        <v>53</v>
      </c>
      <c r="C56" s="87" t="s">
        <v>109</v>
      </c>
      <c r="D56" s="88" t="s">
        <v>895</v>
      </c>
      <c r="E56" s="87" t="s">
        <v>110</v>
      </c>
      <c r="F56" s="88" t="s">
        <v>870</v>
      </c>
    </row>
    <row r="57" spans="1:6" ht="30" customHeight="1" outlineLevel="3" x14ac:dyDescent="0.2">
      <c r="B57" s="13">
        <f t="shared" si="0"/>
        <v>54</v>
      </c>
      <c r="C57" s="14" t="s">
        <v>111</v>
      </c>
      <c r="D57" s="15" t="s">
        <v>902</v>
      </c>
      <c r="E57" s="14" t="s">
        <v>112</v>
      </c>
      <c r="F57" s="15" t="s">
        <v>1323</v>
      </c>
    </row>
    <row r="58" spans="1:6" ht="30" customHeight="1" outlineLevel="3" x14ac:dyDescent="0.2">
      <c r="B58" s="13">
        <f t="shared" si="0"/>
        <v>55</v>
      </c>
      <c r="C58" s="14" t="s">
        <v>113</v>
      </c>
      <c r="D58" s="15" t="s">
        <v>904</v>
      </c>
      <c r="E58" s="14" t="s">
        <v>114</v>
      </c>
      <c r="F58" s="15" t="s">
        <v>870</v>
      </c>
    </row>
    <row r="59" spans="1:6" s="85" customFormat="1" ht="30" customHeight="1" outlineLevel="3" x14ac:dyDescent="0.2">
      <c r="A59" s="89" t="s">
        <v>65</v>
      </c>
      <c r="B59" s="86">
        <f t="shared" si="0"/>
        <v>56</v>
      </c>
      <c r="C59" s="87" t="s">
        <v>115</v>
      </c>
      <c r="D59" s="88" t="s">
        <v>1151</v>
      </c>
      <c r="E59" s="88" t="s">
        <v>116</v>
      </c>
      <c r="F59" s="88" t="s">
        <v>870</v>
      </c>
    </row>
    <row r="60" spans="1:6" s="85" customFormat="1" ht="30" customHeight="1" outlineLevel="3" x14ac:dyDescent="0.2">
      <c r="A60" s="89" t="s">
        <v>65</v>
      </c>
      <c r="B60" s="86">
        <f t="shared" si="0"/>
        <v>57</v>
      </c>
      <c r="C60" s="87" t="s">
        <v>117</v>
      </c>
      <c r="D60" s="88" t="s">
        <v>1152</v>
      </c>
      <c r="E60" s="88" t="s">
        <v>118</v>
      </c>
      <c r="F60" s="88" t="s">
        <v>870</v>
      </c>
    </row>
    <row r="61" spans="1:6" s="85" customFormat="1" ht="30" customHeight="1" outlineLevel="3" x14ac:dyDescent="0.2">
      <c r="A61" s="89" t="s">
        <v>65</v>
      </c>
      <c r="B61" s="86">
        <f t="shared" si="0"/>
        <v>58</v>
      </c>
      <c r="C61" s="87" t="s">
        <v>119</v>
      </c>
      <c r="D61" s="88" t="s">
        <v>1153</v>
      </c>
      <c r="E61" s="88" t="s">
        <v>120</v>
      </c>
      <c r="F61" s="88" t="s">
        <v>870</v>
      </c>
    </row>
    <row r="62" spans="1:6" ht="30" customHeight="1" outlineLevel="3" x14ac:dyDescent="0.2">
      <c r="B62" s="13">
        <f t="shared" si="0"/>
        <v>59</v>
      </c>
      <c r="C62" s="14" t="s">
        <v>121</v>
      </c>
      <c r="D62" s="15" t="s">
        <v>1199</v>
      </c>
      <c r="E62" s="15" t="s">
        <v>122</v>
      </c>
      <c r="F62" s="15" t="s">
        <v>1323</v>
      </c>
    </row>
    <row r="63" spans="1:6" ht="30" customHeight="1" outlineLevel="3" x14ac:dyDescent="0.2">
      <c r="B63" s="13">
        <f t="shared" si="0"/>
        <v>60</v>
      </c>
      <c r="C63" s="14" t="s">
        <v>123</v>
      </c>
      <c r="D63" s="15" t="s">
        <v>1201</v>
      </c>
      <c r="E63" s="15" t="s">
        <v>124</v>
      </c>
      <c r="F63" s="15" t="s">
        <v>1323</v>
      </c>
    </row>
    <row r="64" spans="1:6" ht="30" customHeight="1" outlineLevel="3" x14ac:dyDescent="0.2">
      <c r="B64" s="13">
        <f t="shared" si="0"/>
        <v>61</v>
      </c>
      <c r="C64" s="14" t="s">
        <v>125</v>
      </c>
      <c r="D64" s="15" t="s">
        <v>1200</v>
      </c>
      <c r="E64" s="15" t="s">
        <v>126</v>
      </c>
      <c r="F64" s="15" t="s">
        <v>1323</v>
      </c>
    </row>
    <row r="65" spans="1:6" ht="30" customHeight="1" outlineLevel="3" x14ac:dyDescent="0.2">
      <c r="B65" s="13">
        <f t="shared" si="0"/>
        <v>62</v>
      </c>
      <c r="C65" s="14" t="s">
        <v>127</v>
      </c>
      <c r="D65" s="15" t="s">
        <v>903</v>
      </c>
      <c r="E65" s="15" t="s">
        <v>128</v>
      </c>
      <c r="F65" s="15" t="s">
        <v>1323</v>
      </c>
    </row>
    <row r="66" spans="1:6" s="85" customFormat="1" ht="30" customHeight="1" outlineLevel="3" x14ac:dyDescent="0.2">
      <c r="A66" s="89" t="s">
        <v>65</v>
      </c>
      <c r="B66" s="86">
        <f t="shared" si="0"/>
        <v>63</v>
      </c>
      <c r="C66" s="87" t="s">
        <v>129</v>
      </c>
      <c r="D66" s="88" t="s">
        <v>1213</v>
      </c>
      <c r="E66" s="88" t="s">
        <v>88</v>
      </c>
      <c r="F66" s="88" t="s">
        <v>870</v>
      </c>
    </row>
    <row r="67" spans="1:6" ht="30" customHeight="1" outlineLevel="2" x14ac:dyDescent="0.2">
      <c r="B67" s="11">
        <f t="shared" si="0"/>
        <v>64</v>
      </c>
      <c r="C67" s="12" t="s">
        <v>130</v>
      </c>
      <c r="D67" s="97" t="s">
        <v>1081</v>
      </c>
      <c r="E67" s="23" t="s">
        <v>131</v>
      </c>
      <c r="F67" s="103" t="s">
        <v>1323</v>
      </c>
    </row>
    <row r="68" spans="1:6" ht="30" hidden="1" customHeight="1" outlineLevel="3" x14ac:dyDescent="0.2">
      <c r="B68" s="24">
        <f t="shared" si="0"/>
        <v>65</v>
      </c>
      <c r="C68" s="25" t="s">
        <v>132</v>
      </c>
      <c r="D68" s="44" t="s">
        <v>1299</v>
      </c>
      <c r="E68" s="26" t="s">
        <v>133</v>
      </c>
      <c r="F68" s="104" t="s">
        <v>1323</v>
      </c>
    </row>
    <row r="69" spans="1:6" ht="30" hidden="1" customHeight="1" outlineLevel="3" x14ac:dyDescent="0.2">
      <c r="B69" s="24">
        <f t="shared" si="0"/>
        <v>66</v>
      </c>
      <c r="C69" s="25" t="s">
        <v>134</v>
      </c>
      <c r="D69" s="44" t="s">
        <v>1300</v>
      </c>
      <c r="E69" s="26" t="s">
        <v>135</v>
      </c>
      <c r="F69" s="104" t="s">
        <v>1323</v>
      </c>
    </row>
    <row r="70" spans="1:6" ht="30" customHeight="1" outlineLevel="2" collapsed="1" x14ac:dyDescent="0.2">
      <c r="B70" s="11">
        <f t="shared" ref="B70:B133" si="1">B69+1</f>
        <v>67</v>
      </c>
      <c r="C70" s="12" t="s">
        <v>136</v>
      </c>
      <c r="D70" s="97" t="s">
        <v>905</v>
      </c>
      <c r="E70" s="23" t="s">
        <v>137</v>
      </c>
      <c r="F70" s="103" t="s">
        <v>1323</v>
      </c>
    </row>
    <row r="71" spans="1:6" ht="30" hidden="1" customHeight="1" outlineLevel="3" x14ac:dyDescent="0.2">
      <c r="B71" s="13">
        <f t="shared" si="1"/>
        <v>68</v>
      </c>
      <c r="C71" s="14" t="s">
        <v>138</v>
      </c>
      <c r="D71" s="15" t="s">
        <v>906</v>
      </c>
      <c r="E71" s="14" t="s">
        <v>139</v>
      </c>
      <c r="F71" s="15" t="s">
        <v>1323</v>
      </c>
    </row>
    <row r="72" spans="1:6" ht="30" hidden="1" customHeight="1" outlineLevel="3" x14ac:dyDescent="0.2">
      <c r="B72" s="13">
        <f t="shared" si="1"/>
        <v>69</v>
      </c>
      <c r="C72" s="14" t="s">
        <v>140</v>
      </c>
      <c r="D72" s="15" t="s">
        <v>907</v>
      </c>
      <c r="E72" s="14" t="s">
        <v>141</v>
      </c>
      <c r="F72" s="15" t="s">
        <v>1323</v>
      </c>
    </row>
    <row r="73" spans="1:6" ht="30" hidden="1" customHeight="1" outlineLevel="3" x14ac:dyDescent="0.2">
      <c r="B73" s="13">
        <f t="shared" si="1"/>
        <v>70</v>
      </c>
      <c r="C73" s="14" t="s">
        <v>142</v>
      </c>
      <c r="D73" s="15" t="s">
        <v>1217</v>
      </c>
      <c r="E73" s="14" t="s">
        <v>143</v>
      </c>
      <c r="F73" s="15" t="s">
        <v>1323</v>
      </c>
    </row>
    <row r="74" spans="1:6" ht="30" customHeight="1" outlineLevel="1" x14ac:dyDescent="0.2">
      <c r="B74" s="27">
        <f t="shared" si="1"/>
        <v>71</v>
      </c>
      <c r="C74" s="10" t="s">
        <v>144</v>
      </c>
      <c r="D74" s="67" t="s">
        <v>908</v>
      </c>
      <c r="E74" s="10" t="s">
        <v>145</v>
      </c>
      <c r="F74" s="67" t="s">
        <v>1323</v>
      </c>
    </row>
    <row r="75" spans="1:6" ht="30" customHeight="1" outlineLevel="2" x14ac:dyDescent="0.2">
      <c r="B75" s="11">
        <f t="shared" si="1"/>
        <v>72</v>
      </c>
      <c r="C75" s="12" t="s">
        <v>146</v>
      </c>
      <c r="D75" s="97" t="s">
        <v>909</v>
      </c>
      <c r="E75" s="28" t="s">
        <v>147</v>
      </c>
      <c r="F75" s="105" t="s">
        <v>1323</v>
      </c>
    </row>
    <row r="76" spans="1:6" ht="30" customHeight="1" outlineLevel="2" x14ac:dyDescent="0.2">
      <c r="B76" s="11">
        <f t="shared" si="1"/>
        <v>73</v>
      </c>
      <c r="C76" s="12" t="s">
        <v>148</v>
      </c>
      <c r="D76" s="97" t="s">
        <v>910</v>
      </c>
      <c r="E76" s="28" t="s">
        <v>149</v>
      </c>
      <c r="F76" s="105" t="s">
        <v>1323</v>
      </c>
    </row>
    <row r="77" spans="1:6" s="29" customFormat="1" ht="30" customHeight="1" outlineLevel="1" x14ac:dyDescent="0.2">
      <c r="B77" s="27">
        <f t="shared" si="1"/>
        <v>74</v>
      </c>
      <c r="C77" s="30" t="s">
        <v>150</v>
      </c>
      <c r="D77" s="100" t="s">
        <v>871</v>
      </c>
      <c r="E77" s="30" t="s">
        <v>151</v>
      </c>
      <c r="F77" s="100" t="s">
        <v>870</v>
      </c>
    </row>
    <row r="78" spans="1:6" ht="30" customHeight="1" outlineLevel="2" x14ac:dyDescent="0.2">
      <c r="B78" s="16">
        <f t="shared" si="1"/>
        <v>75</v>
      </c>
      <c r="C78" s="17" t="s">
        <v>152</v>
      </c>
      <c r="D78" s="31" t="s">
        <v>873</v>
      </c>
      <c r="E78" s="31" t="s">
        <v>153</v>
      </c>
      <c r="F78" s="31" t="s">
        <v>870</v>
      </c>
    </row>
    <row r="79" spans="1:6" ht="30" customHeight="1" outlineLevel="2" x14ac:dyDescent="0.2">
      <c r="B79" s="16">
        <f t="shared" si="1"/>
        <v>76</v>
      </c>
      <c r="C79" s="17" t="s">
        <v>154</v>
      </c>
      <c r="D79" s="31" t="s">
        <v>880</v>
      </c>
      <c r="E79" s="17" t="s">
        <v>155</v>
      </c>
      <c r="F79" s="31" t="s">
        <v>870</v>
      </c>
    </row>
    <row r="80" spans="1:6" ht="30" customHeight="1" outlineLevel="2" x14ac:dyDescent="0.2">
      <c r="B80" s="16">
        <f t="shared" si="1"/>
        <v>77</v>
      </c>
      <c r="C80" s="17" t="s">
        <v>156</v>
      </c>
      <c r="D80" s="31" t="s">
        <v>894</v>
      </c>
      <c r="E80" s="17" t="s">
        <v>157</v>
      </c>
      <c r="F80" s="31" t="s">
        <v>870</v>
      </c>
    </row>
    <row r="81" spans="2:6" ht="30" customHeight="1" outlineLevel="2" x14ac:dyDescent="0.2">
      <c r="B81" s="16">
        <f t="shared" si="1"/>
        <v>78</v>
      </c>
      <c r="C81" s="17" t="s">
        <v>158</v>
      </c>
      <c r="D81" s="31" t="s">
        <v>872</v>
      </c>
      <c r="E81" s="31" t="s">
        <v>159</v>
      </c>
      <c r="F81" s="31" t="s">
        <v>870</v>
      </c>
    </row>
    <row r="82" spans="2:6" ht="30" customHeight="1" outlineLevel="2" x14ac:dyDescent="0.2">
      <c r="B82" s="16">
        <f t="shared" si="1"/>
        <v>79</v>
      </c>
      <c r="C82" s="17" t="s">
        <v>160</v>
      </c>
      <c r="D82" s="31" t="s">
        <v>1159</v>
      </c>
      <c r="E82" s="17" t="s">
        <v>161</v>
      </c>
      <c r="F82" s="31" t="s">
        <v>870</v>
      </c>
    </row>
    <row r="83" spans="2:6" ht="30" customHeight="1" outlineLevel="2" x14ac:dyDescent="0.2">
      <c r="B83" s="16">
        <f t="shared" si="1"/>
        <v>80</v>
      </c>
      <c r="C83" s="17" t="s">
        <v>162</v>
      </c>
      <c r="D83" s="31" t="s">
        <v>1222</v>
      </c>
      <c r="E83" s="17" t="s">
        <v>163</v>
      </c>
      <c r="F83" s="31" t="s">
        <v>870</v>
      </c>
    </row>
    <row r="84" spans="2:6" ht="30" customHeight="1" x14ac:dyDescent="0.2">
      <c r="B84" s="7">
        <f t="shared" si="1"/>
        <v>81</v>
      </c>
      <c r="C84" s="8" t="s">
        <v>164</v>
      </c>
      <c r="D84" s="96" t="s">
        <v>885</v>
      </c>
      <c r="E84" s="22" t="s">
        <v>165</v>
      </c>
      <c r="F84" s="102" t="s">
        <v>885</v>
      </c>
    </row>
    <row r="85" spans="2:6" ht="30" customHeight="1" outlineLevel="1" x14ac:dyDescent="0.2">
      <c r="B85" s="9">
        <f t="shared" si="1"/>
        <v>82</v>
      </c>
      <c r="C85" s="10" t="s">
        <v>166</v>
      </c>
      <c r="D85" s="67" t="s">
        <v>912</v>
      </c>
      <c r="E85" s="10" t="s">
        <v>167</v>
      </c>
      <c r="F85" s="67" t="s">
        <v>885</v>
      </c>
    </row>
    <row r="86" spans="2:6" ht="30" customHeight="1" outlineLevel="2" x14ac:dyDescent="0.2">
      <c r="B86" s="11">
        <f t="shared" si="1"/>
        <v>83</v>
      </c>
      <c r="C86" s="12" t="s">
        <v>168</v>
      </c>
      <c r="D86" s="97" t="s">
        <v>913</v>
      </c>
      <c r="E86" s="12" t="s">
        <v>169</v>
      </c>
      <c r="F86" s="97" t="s">
        <v>885</v>
      </c>
    </row>
    <row r="87" spans="2:6" ht="30" customHeight="1" outlineLevel="3" x14ac:dyDescent="0.2">
      <c r="B87" s="13">
        <f t="shared" si="1"/>
        <v>84</v>
      </c>
      <c r="C87" s="14" t="s">
        <v>170</v>
      </c>
      <c r="D87" s="15" t="s">
        <v>914</v>
      </c>
      <c r="E87" s="14" t="s">
        <v>171</v>
      </c>
      <c r="F87" s="15" t="s">
        <v>885</v>
      </c>
    </row>
    <row r="88" spans="2:6" ht="30" customHeight="1" outlineLevel="3" x14ac:dyDescent="0.2">
      <c r="B88" s="24">
        <f t="shared" si="1"/>
        <v>85</v>
      </c>
      <c r="C88" s="25" t="s">
        <v>172</v>
      </c>
      <c r="D88" s="44" t="s">
        <v>1301</v>
      </c>
      <c r="E88" s="25" t="s">
        <v>173</v>
      </c>
      <c r="F88" s="44" t="s">
        <v>885</v>
      </c>
    </row>
    <row r="89" spans="2:6" ht="30" customHeight="1" outlineLevel="3" x14ac:dyDescent="0.2">
      <c r="B89" s="13">
        <f t="shared" si="1"/>
        <v>86</v>
      </c>
      <c r="C89" s="14" t="s">
        <v>174</v>
      </c>
      <c r="D89" s="15" t="s">
        <v>916</v>
      </c>
      <c r="E89" s="14" t="s">
        <v>175</v>
      </c>
      <c r="F89" s="15" t="s">
        <v>885</v>
      </c>
    </row>
    <row r="90" spans="2:6" ht="30" customHeight="1" outlineLevel="3" x14ac:dyDescent="0.2">
      <c r="B90" s="13">
        <f t="shared" si="1"/>
        <v>87</v>
      </c>
      <c r="C90" s="14" t="s">
        <v>176</v>
      </c>
      <c r="D90" s="15" t="s">
        <v>917</v>
      </c>
      <c r="E90" s="14" t="s">
        <v>177</v>
      </c>
      <c r="F90" s="15" t="s">
        <v>885</v>
      </c>
    </row>
    <row r="91" spans="2:6" ht="30" customHeight="1" outlineLevel="3" x14ac:dyDescent="0.2">
      <c r="B91" s="13">
        <f t="shared" si="1"/>
        <v>88</v>
      </c>
      <c r="C91" s="14" t="s">
        <v>178</v>
      </c>
      <c r="D91" s="15" t="s">
        <v>922</v>
      </c>
      <c r="E91" s="14" t="s">
        <v>179</v>
      </c>
      <c r="F91" s="15" t="s">
        <v>885</v>
      </c>
    </row>
    <row r="92" spans="2:6" ht="30" customHeight="1" outlineLevel="3" x14ac:dyDescent="0.2">
      <c r="B92" s="13">
        <f t="shared" si="1"/>
        <v>89</v>
      </c>
      <c r="C92" s="14" t="s">
        <v>180</v>
      </c>
      <c r="D92" s="15" t="s">
        <v>915</v>
      </c>
      <c r="E92" s="14" t="s">
        <v>181</v>
      </c>
      <c r="F92" s="15" t="s">
        <v>885</v>
      </c>
    </row>
    <row r="93" spans="2:6" ht="30" customHeight="1" outlineLevel="3" x14ac:dyDescent="0.2">
      <c r="B93" s="13">
        <f t="shared" si="1"/>
        <v>90</v>
      </c>
      <c r="C93" s="14" t="s">
        <v>182</v>
      </c>
      <c r="D93" s="15" t="s">
        <v>1080</v>
      </c>
      <c r="E93" s="14" t="s">
        <v>183</v>
      </c>
      <c r="F93" s="15" t="s">
        <v>885</v>
      </c>
    </row>
    <row r="94" spans="2:6" ht="30" customHeight="1" outlineLevel="2" x14ac:dyDescent="0.2">
      <c r="B94" s="11">
        <f t="shared" si="1"/>
        <v>91</v>
      </c>
      <c r="C94" s="12" t="s">
        <v>184</v>
      </c>
      <c r="D94" s="97" t="s">
        <v>918</v>
      </c>
      <c r="E94" s="12" t="s">
        <v>185</v>
      </c>
      <c r="F94" s="97" t="s">
        <v>885</v>
      </c>
    </row>
    <row r="95" spans="2:6" ht="30" customHeight="1" outlineLevel="3" x14ac:dyDescent="0.2">
      <c r="B95" s="13">
        <f t="shared" si="1"/>
        <v>92</v>
      </c>
      <c r="C95" s="14" t="s">
        <v>186</v>
      </c>
      <c r="D95" s="15" t="s">
        <v>919</v>
      </c>
      <c r="E95" s="14" t="s">
        <v>187</v>
      </c>
      <c r="F95" s="15" t="s">
        <v>885</v>
      </c>
    </row>
    <row r="96" spans="2:6" ht="30" customHeight="1" outlineLevel="3" x14ac:dyDescent="0.2">
      <c r="B96" s="24">
        <f t="shared" si="1"/>
        <v>93</v>
      </c>
      <c r="C96" s="25" t="s">
        <v>188</v>
      </c>
      <c r="D96" s="44" t="s">
        <v>1302</v>
      </c>
      <c r="E96" s="25" t="s">
        <v>189</v>
      </c>
      <c r="F96" s="44" t="s">
        <v>885</v>
      </c>
    </row>
    <row r="97" spans="2:6" ht="30" customHeight="1" outlineLevel="3" x14ac:dyDescent="0.2">
      <c r="B97" s="13">
        <f t="shared" si="1"/>
        <v>94</v>
      </c>
      <c r="C97" s="14" t="s">
        <v>190</v>
      </c>
      <c r="D97" s="15" t="s">
        <v>920</v>
      </c>
      <c r="E97" s="14" t="s">
        <v>191</v>
      </c>
      <c r="F97" s="15" t="s">
        <v>885</v>
      </c>
    </row>
    <row r="98" spans="2:6" ht="30" customHeight="1" outlineLevel="3" x14ac:dyDescent="0.2">
      <c r="B98" s="13">
        <f t="shared" si="1"/>
        <v>95</v>
      </c>
      <c r="C98" s="14" t="s">
        <v>192</v>
      </c>
      <c r="D98" s="15" t="s">
        <v>921</v>
      </c>
      <c r="E98" s="14" t="s">
        <v>193</v>
      </c>
      <c r="F98" s="15" t="s">
        <v>885</v>
      </c>
    </row>
    <row r="99" spans="2:6" ht="30" customHeight="1" outlineLevel="3" x14ac:dyDescent="0.2">
      <c r="B99" s="13">
        <f t="shared" si="1"/>
        <v>96</v>
      </c>
      <c r="C99" s="14" t="s">
        <v>194</v>
      </c>
      <c r="D99" s="15" t="s">
        <v>1192</v>
      </c>
      <c r="E99" s="14" t="s">
        <v>195</v>
      </c>
      <c r="F99" s="15" t="s">
        <v>885</v>
      </c>
    </row>
    <row r="100" spans="2:6" ht="30" customHeight="1" outlineLevel="2" x14ac:dyDescent="0.2">
      <c r="B100" s="11">
        <f t="shared" si="1"/>
        <v>97</v>
      </c>
      <c r="C100" s="12" t="s">
        <v>196</v>
      </c>
      <c r="D100" s="97" t="s">
        <v>928</v>
      </c>
      <c r="E100" s="12" t="s">
        <v>197</v>
      </c>
      <c r="F100" s="97" t="s">
        <v>885</v>
      </c>
    </row>
    <row r="101" spans="2:6" ht="30" customHeight="1" outlineLevel="3" x14ac:dyDescent="0.2">
      <c r="B101" s="13">
        <f t="shared" si="1"/>
        <v>98</v>
      </c>
      <c r="C101" s="14" t="s">
        <v>198</v>
      </c>
      <c r="D101" s="15" t="s">
        <v>1010</v>
      </c>
      <c r="E101" s="14" t="s">
        <v>199</v>
      </c>
      <c r="F101" s="15" t="s">
        <v>885</v>
      </c>
    </row>
    <row r="102" spans="2:6" ht="30" customHeight="1" outlineLevel="3" x14ac:dyDescent="0.2">
      <c r="B102" s="13">
        <f t="shared" si="1"/>
        <v>99</v>
      </c>
      <c r="C102" s="14" t="s">
        <v>200</v>
      </c>
      <c r="D102" s="15" t="s">
        <v>954</v>
      </c>
      <c r="E102" s="14" t="s">
        <v>201</v>
      </c>
      <c r="F102" s="15" t="s">
        <v>885</v>
      </c>
    </row>
    <row r="103" spans="2:6" ht="30" customHeight="1" outlineLevel="3" x14ac:dyDescent="0.2">
      <c r="B103" s="13">
        <f t="shared" si="1"/>
        <v>100</v>
      </c>
      <c r="C103" s="14" t="s">
        <v>202</v>
      </c>
      <c r="D103" s="15" t="s">
        <v>929</v>
      </c>
      <c r="E103" s="14" t="s">
        <v>34</v>
      </c>
      <c r="F103" s="15" t="s">
        <v>885</v>
      </c>
    </row>
    <row r="104" spans="2:6" ht="30" customHeight="1" outlineLevel="3" x14ac:dyDescent="0.2">
      <c r="B104" s="13">
        <f t="shared" si="1"/>
        <v>101</v>
      </c>
      <c r="C104" s="14" t="s">
        <v>203</v>
      </c>
      <c r="D104" s="15" t="s">
        <v>1209</v>
      </c>
      <c r="E104" s="14" t="s">
        <v>204</v>
      </c>
      <c r="F104" s="15" t="s">
        <v>885</v>
      </c>
    </row>
    <row r="105" spans="2:6" ht="30" customHeight="1" outlineLevel="1" x14ac:dyDescent="0.2">
      <c r="B105" s="9">
        <f t="shared" si="1"/>
        <v>102</v>
      </c>
      <c r="C105" s="10" t="s">
        <v>205</v>
      </c>
      <c r="D105" s="67" t="s">
        <v>886</v>
      </c>
      <c r="E105" s="10" t="s">
        <v>206</v>
      </c>
      <c r="F105" s="67" t="s">
        <v>870</v>
      </c>
    </row>
    <row r="106" spans="2:6" ht="30" customHeight="1" outlineLevel="2" x14ac:dyDescent="0.2">
      <c r="B106" s="11">
        <f t="shared" si="1"/>
        <v>103</v>
      </c>
      <c r="C106" s="12" t="s">
        <v>207</v>
      </c>
      <c r="D106" s="97" t="s">
        <v>887</v>
      </c>
      <c r="E106" s="12" t="s">
        <v>208</v>
      </c>
      <c r="F106" s="97" t="s">
        <v>870</v>
      </c>
    </row>
    <row r="107" spans="2:6" ht="30" hidden="1" customHeight="1" outlineLevel="3" x14ac:dyDescent="0.2">
      <c r="B107" s="13">
        <f t="shared" si="1"/>
        <v>104</v>
      </c>
      <c r="C107" s="14" t="s">
        <v>209</v>
      </c>
      <c r="D107" s="15" t="s">
        <v>888</v>
      </c>
      <c r="E107" s="14" t="s">
        <v>210</v>
      </c>
      <c r="F107" s="15" t="s">
        <v>870</v>
      </c>
    </row>
    <row r="108" spans="2:6" ht="30" hidden="1" customHeight="1" outlineLevel="3" x14ac:dyDescent="0.2">
      <c r="B108" s="13">
        <f t="shared" si="1"/>
        <v>105</v>
      </c>
      <c r="C108" s="14" t="s">
        <v>211</v>
      </c>
      <c r="D108" s="15" t="s">
        <v>890</v>
      </c>
      <c r="E108" s="14" t="s">
        <v>212</v>
      </c>
      <c r="F108" s="15" t="s">
        <v>870</v>
      </c>
    </row>
    <row r="109" spans="2:6" ht="30" hidden="1" customHeight="1" outlineLevel="3" x14ac:dyDescent="0.2">
      <c r="B109" s="13">
        <f t="shared" si="1"/>
        <v>106</v>
      </c>
      <c r="C109" s="14" t="s">
        <v>213</v>
      </c>
      <c r="D109" s="15" t="s">
        <v>897</v>
      </c>
      <c r="E109" s="14" t="s">
        <v>214</v>
      </c>
      <c r="F109" s="15" t="s">
        <v>870</v>
      </c>
    </row>
    <row r="110" spans="2:6" ht="30" hidden="1" customHeight="1" outlineLevel="3" x14ac:dyDescent="0.2">
      <c r="B110" s="13">
        <f t="shared" si="1"/>
        <v>107</v>
      </c>
      <c r="C110" s="14" t="s">
        <v>215</v>
      </c>
      <c r="D110" s="15" t="s">
        <v>899</v>
      </c>
      <c r="E110" s="14" t="s">
        <v>216</v>
      </c>
      <c r="F110" s="15" t="s">
        <v>870</v>
      </c>
    </row>
    <row r="111" spans="2:6" ht="30" hidden="1" customHeight="1" outlineLevel="3" x14ac:dyDescent="0.2">
      <c r="B111" s="13">
        <f t="shared" si="1"/>
        <v>108</v>
      </c>
      <c r="C111" s="14" t="s">
        <v>217</v>
      </c>
      <c r="D111" s="15" t="s">
        <v>911</v>
      </c>
      <c r="E111" s="14" t="s">
        <v>218</v>
      </c>
      <c r="F111" s="15" t="s">
        <v>870</v>
      </c>
    </row>
    <row r="112" spans="2:6" ht="30" hidden="1" customHeight="1" outlineLevel="3" x14ac:dyDescent="0.2">
      <c r="B112" s="13">
        <f>B111+1</f>
        <v>109</v>
      </c>
      <c r="C112" s="14" t="s">
        <v>219</v>
      </c>
      <c r="D112" s="15" t="s">
        <v>1219</v>
      </c>
      <c r="E112" s="15" t="s">
        <v>220</v>
      </c>
      <c r="F112" s="15" t="s">
        <v>870</v>
      </c>
    </row>
    <row r="113" spans="2:6" ht="30" hidden="1" customHeight="1" outlineLevel="3" x14ac:dyDescent="0.2">
      <c r="B113" s="13">
        <f>B112+1</f>
        <v>110</v>
      </c>
      <c r="C113" s="14" t="s">
        <v>221</v>
      </c>
      <c r="D113" s="15" t="s">
        <v>1198</v>
      </c>
      <c r="E113" s="15" t="s">
        <v>222</v>
      </c>
      <c r="F113" s="15" t="s">
        <v>870</v>
      </c>
    </row>
    <row r="114" spans="2:6" ht="30" customHeight="1" outlineLevel="2" collapsed="1" x14ac:dyDescent="0.2">
      <c r="B114" s="11">
        <f>B113+1</f>
        <v>111</v>
      </c>
      <c r="C114" s="12" t="s">
        <v>223</v>
      </c>
      <c r="D114" s="97" t="s">
        <v>933</v>
      </c>
      <c r="E114" s="12" t="s">
        <v>224</v>
      </c>
      <c r="F114" s="97" t="s">
        <v>885</v>
      </c>
    </row>
    <row r="115" spans="2:6" ht="30" customHeight="1" outlineLevel="1" x14ac:dyDescent="0.2">
      <c r="B115" s="9">
        <f t="shared" si="1"/>
        <v>112</v>
      </c>
      <c r="C115" s="10" t="s">
        <v>225</v>
      </c>
      <c r="D115" s="67" t="s">
        <v>923</v>
      </c>
      <c r="E115" s="10" t="s">
        <v>226</v>
      </c>
      <c r="F115" s="67" t="s">
        <v>885</v>
      </c>
    </row>
    <row r="116" spans="2:6" ht="30" customHeight="1" outlineLevel="2" x14ac:dyDescent="0.2">
      <c r="B116" s="11">
        <f t="shared" si="1"/>
        <v>113</v>
      </c>
      <c r="C116" s="12" t="s">
        <v>227</v>
      </c>
      <c r="D116" s="97" t="s">
        <v>924</v>
      </c>
      <c r="E116" s="12" t="s">
        <v>228</v>
      </c>
      <c r="F116" s="97" t="s">
        <v>885</v>
      </c>
    </row>
    <row r="117" spans="2:6" ht="30" hidden="1" customHeight="1" outlineLevel="3" x14ac:dyDescent="0.2">
      <c r="B117" s="13">
        <f t="shared" si="1"/>
        <v>114</v>
      </c>
      <c r="C117" s="14" t="s">
        <v>229</v>
      </c>
      <c r="D117" s="15" t="s">
        <v>939</v>
      </c>
      <c r="E117" s="14" t="s">
        <v>230</v>
      </c>
      <c r="F117" s="15" t="s">
        <v>885</v>
      </c>
    </row>
    <row r="118" spans="2:6" ht="30" hidden="1" customHeight="1" outlineLevel="3" x14ac:dyDescent="0.2">
      <c r="B118" s="13">
        <f t="shared" si="1"/>
        <v>115</v>
      </c>
      <c r="C118" s="14" t="s">
        <v>231</v>
      </c>
      <c r="D118" s="15" t="s">
        <v>940</v>
      </c>
      <c r="E118" s="14" t="s">
        <v>232</v>
      </c>
      <c r="F118" s="15" t="s">
        <v>885</v>
      </c>
    </row>
    <row r="119" spans="2:6" ht="30" hidden="1" customHeight="1" outlineLevel="3" x14ac:dyDescent="0.2">
      <c r="B119" s="13">
        <f t="shared" si="1"/>
        <v>116</v>
      </c>
      <c r="C119" s="14" t="s">
        <v>233</v>
      </c>
      <c r="D119" s="15" t="s">
        <v>941</v>
      </c>
      <c r="E119" s="14" t="s">
        <v>234</v>
      </c>
      <c r="F119" s="15" t="s">
        <v>885</v>
      </c>
    </row>
    <row r="120" spans="2:6" ht="30" hidden="1" customHeight="1" outlineLevel="3" x14ac:dyDescent="0.2">
      <c r="B120" s="13">
        <f t="shared" si="1"/>
        <v>117</v>
      </c>
      <c r="C120" s="14" t="s">
        <v>235</v>
      </c>
      <c r="D120" s="15" t="s">
        <v>942</v>
      </c>
      <c r="E120" s="14" t="s">
        <v>236</v>
      </c>
      <c r="F120" s="15" t="s">
        <v>885</v>
      </c>
    </row>
    <row r="121" spans="2:6" s="32" customFormat="1" ht="30" hidden="1" customHeight="1" outlineLevel="3" x14ac:dyDescent="0.2">
      <c r="B121" s="13">
        <f t="shared" si="1"/>
        <v>118</v>
      </c>
      <c r="C121" s="14" t="s">
        <v>237</v>
      </c>
      <c r="D121" s="15" t="s">
        <v>934</v>
      </c>
      <c r="E121" s="14" t="s">
        <v>238</v>
      </c>
      <c r="F121" s="15" t="s">
        <v>885</v>
      </c>
    </row>
    <row r="122" spans="2:6" s="32" customFormat="1" ht="30" hidden="1" customHeight="1" outlineLevel="3" x14ac:dyDescent="0.2">
      <c r="B122" s="13">
        <f t="shared" si="1"/>
        <v>119</v>
      </c>
      <c r="C122" s="14" t="s">
        <v>239</v>
      </c>
      <c r="D122" s="15" t="s">
        <v>925</v>
      </c>
      <c r="E122" s="14" t="s">
        <v>240</v>
      </c>
      <c r="F122" s="15" t="s">
        <v>885</v>
      </c>
    </row>
    <row r="123" spans="2:6" ht="30" hidden="1" customHeight="1" outlineLevel="3" x14ac:dyDescent="0.2">
      <c r="B123" s="13">
        <f t="shared" si="1"/>
        <v>120</v>
      </c>
      <c r="C123" s="14" t="s">
        <v>241</v>
      </c>
      <c r="D123" s="15" t="s">
        <v>1083</v>
      </c>
      <c r="E123" s="14" t="s">
        <v>242</v>
      </c>
      <c r="F123" s="15" t="s">
        <v>885</v>
      </c>
    </row>
    <row r="124" spans="2:6" ht="30" hidden="1" customHeight="1" outlineLevel="3" x14ac:dyDescent="0.2">
      <c r="B124" s="13">
        <f t="shared" si="1"/>
        <v>121</v>
      </c>
      <c r="C124" s="14" t="s">
        <v>243</v>
      </c>
      <c r="D124" s="15" t="s">
        <v>1161</v>
      </c>
      <c r="E124" s="14" t="s">
        <v>244</v>
      </c>
      <c r="F124" s="15" t="s">
        <v>885</v>
      </c>
    </row>
    <row r="125" spans="2:6" ht="30" customHeight="1" outlineLevel="2" collapsed="1" x14ac:dyDescent="0.2">
      <c r="B125" s="11">
        <f t="shared" si="1"/>
        <v>122</v>
      </c>
      <c r="C125" s="12" t="s">
        <v>245</v>
      </c>
      <c r="D125" s="97" t="s">
        <v>926</v>
      </c>
      <c r="E125" s="12" t="s">
        <v>246</v>
      </c>
      <c r="F125" s="97" t="s">
        <v>885</v>
      </c>
    </row>
    <row r="126" spans="2:6" ht="30" hidden="1" customHeight="1" outlineLevel="3" x14ac:dyDescent="0.2">
      <c r="B126" s="13">
        <f t="shared" si="1"/>
        <v>123</v>
      </c>
      <c r="C126" s="14" t="s">
        <v>247</v>
      </c>
      <c r="D126" s="15" t="s">
        <v>927</v>
      </c>
      <c r="E126" s="14" t="s">
        <v>248</v>
      </c>
      <c r="F126" s="15" t="s">
        <v>885</v>
      </c>
    </row>
    <row r="127" spans="2:6" ht="30" hidden="1" customHeight="1" outlineLevel="3" x14ac:dyDescent="0.2">
      <c r="B127" s="13">
        <f t="shared" si="1"/>
        <v>124</v>
      </c>
      <c r="C127" s="14" t="s">
        <v>249</v>
      </c>
      <c r="D127" s="15" t="s">
        <v>936</v>
      </c>
      <c r="E127" s="14" t="s">
        <v>250</v>
      </c>
      <c r="F127" s="15" t="s">
        <v>885</v>
      </c>
    </row>
    <row r="128" spans="2:6" ht="30" hidden="1" customHeight="1" outlineLevel="3" x14ac:dyDescent="0.2">
      <c r="B128" s="13">
        <f t="shared" si="1"/>
        <v>125</v>
      </c>
      <c r="C128" s="14" t="s">
        <v>251</v>
      </c>
      <c r="D128" s="15" t="s">
        <v>935</v>
      </c>
      <c r="E128" s="14" t="s">
        <v>252</v>
      </c>
      <c r="F128" s="15" t="s">
        <v>885</v>
      </c>
    </row>
    <row r="129" spans="2:6" ht="30" hidden="1" customHeight="1" outlineLevel="3" x14ac:dyDescent="0.2">
      <c r="B129" s="13">
        <f t="shared" si="1"/>
        <v>126</v>
      </c>
      <c r="C129" s="14" t="s">
        <v>253</v>
      </c>
      <c r="D129" s="15" t="s">
        <v>944</v>
      </c>
      <c r="E129" s="14" t="s">
        <v>254</v>
      </c>
      <c r="F129" s="15" t="s">
        <v>885</v>
      </c>
    </row>
    <row r="130" spans="2:6" ht="30" hidden="1" customHeight="1" outlineLevel="3" x14ac:dyDescent="0.2">
      <c r="B130" s="13">
        <f t="shared" si="1"/>
        <v>127</v>
      </c>
      <c r="C130" s="14" t="s">
        <v>255</v>
      </c>
      <c r="D130" s="15" t="s">
        <v>1193</v>
      </c>
      <c r="E130" s="14" t="s">
        <v>256</v>
      </c>
      <c r="F130" s="15" t="s">
        <v>885</v>
      </c>
    </row>
    <row r="131" spans="2:6" ht="30" customHeight="1" outlineLevel="2" collapsed="1" x14ac:dyDescent="0.2">
      <c r="B131" s="11">
        <f t="shared" si="1"/>
        <v>128</v>
      </c>
      <c r="C131" s="12" t="s">
        <v>257</v>
      </c>
      <c r="D131" s="97" t="s">
        <v>937</v>
      </c>
      <c r="E131" s="12" t="s">
        <v>258</v>
      </c>
      <c r="F131" s="97" t="s">
        <v>885</v>
      </c>
    </row>
    <row r="132" spans="2:6" ht="30" customHeight="1" outlineLevel="3" x14ac:dyDescent="0.2">
      <c r="B132" s="13">
        <f t="shared" si="1"/>
        <v>129</v>
      </c>
      <c r="C132" s="14" t="s">
        <v>259</v>
      </c>
      <c r="D132" s="15" t="s">
        <v>938</v>
      </c>
      <c r="E132" s="14" t="s">
        <v>260</v>
      </c>
      <c r="F132" s="15" t="s">
        <v>885</v>
      </c>
    </row>
    <row r="133" spans="2:6" s="32" customFormat="1" ht="30" customHeight="1" outlineLevel="3" x14ac:dyDescent="0.2">
      <c r="B133" s="13">
        <f t="shared" si="1"/>
        <v>130</v>
      </c>
      <c r="C133" s="14" t="s">
        <v>261</v>
      </c>
      <c r="D133" s="15" t="s">
        <v>943</v>
      </c>
      <c r="E133" s="14" t="s">
        <v>262</v>
      </c>
      <c r="F133" s="15" t="s">
        <v>885</v>
      </c>
    </row>
    <row r="134" spans="2:6" ht="30" customHeight="1" outlineLevel="3" x14ac:dyDescent="0.2">
      <c r="B134" s="13">
        <f t="shared" ref="B134:B197" si="2">B133+1</f>
        <v>131</v>
      </c>
      <c r="C134" s="14" t="s">
        <v>263</v>
      </c>
      <c r="D134" s="15" t="s">
        <v>1162</v>
      </c>
      <c r="E134" s="14" t="s">
        <v>264</v>
      </c>
      <c r="F134" s="15" t="s">
        <v>885</v>
      </c>
    </row>
    <row r="135" spans="2:6" ht="30" customHeight="1" x14ac:dyDescent="0.2">
      <c r="B135" s="7">
        <f t="shared" si="2"/>
        <v>132</v>
      </c>
      <c r="C135" s="8" t="s">
        <v>265</v>
      </c>
      <c r="D135" s="96" t="s">
        <v>948</v>
      </c>
      <c r="E135" s="22" t="s">
        <v>266</v>
      </c>
      <c r="F135" s="102" t="s">
        <v>948</v>
      </c>
    </row>
    <row r="136" spans="2:6" ht="30" customHeight="1" outlineLevel="1" x14ac:dyDescent="0.2">
      <c r="B136" s="9">
        <f t="shared" si="2"/>
        <v>133</v>
      </c>
      <c r="C136" s="10" t="s">
        <v>267</v>
      </c>
      <c r="D136" s="67" t="s">
        <v>977</v>
      </c>
      <c r="E136" s="10" t="s">
        <v>268</v>
      </c>
      <c r="F136" s="67" t="s">
        <v>1324</v>
      </c>
    </row>
    <row r="137" spans="2:6" ht="30" customHeight="1" outlineLevel="2" x14ac:dyDescent="0.2">
      <c r="B137" s="11">
        <f t="shared" si="2"/>
        <v>134</v>
      </c>
      <c r="C137" s="12" t="s">
        <v>269</v>
      </c>
      <c r="D137" s="97" t="s">
        <v>978</v>
      </c>
      <c r="E137" s="23" t="s">
        <v>270</v>
      </c>
      <c r="F137" s="103" t="s">
        <v>1324</v>
      </c>
    </row>
    <row r="138" spans="2:6" ht="30" hidden="1" customHeight="1" outlineLevel="3" x14ac:dyDescent="0.2">
      <c r="B138" s="13">
        <f t="shared" si="2"/>
        <v>135</v>
      </c>
      <c r="C138" s="14" t="s">
        <v>271</v>
      </c>
      <c r="D138" s="15" t="s">
        <v>979</v>
      </c>
      <c r="E138" s="14" t="s">
        <v>272</v>
      </c>
      <c r="F138" s="15" t="s">
        <v>1324</v>
      </c>
    </row>
    <row r="139" spans="2:6" ht="30" hidden="1" customHeight="1" outlineLevel="3" x14ac:dyDescent="0.2">
      <c r="B139" s="13">
        <f t="shared" si="2"/>
        <v>136</v>
      </c>
      <c r="C139" s="14" t="s">
        <v>273</v>
      </c>
      <c r="D139" s="15" t="s">
        <v>980</v>
      </c>
      <c r="E139" s="14" t="s">
        <v>274</v>
      </c>
      <c r="F139" s="15" t="s">
        <v>1324</v>
      </c>
    </row>
    <row r="140" spans="2:6" ht="30" customHeight="1" outlineLevel="2" collapsed="1" x14ac:dyDescent="0.2">
      <c r="B140" s="11">
        <f t="shared" si="2"/>
        <v>137</v>
      </c>
      <c r="C140" s="12" t="s">
        <v>275</v>
      </c>
      <c r="D140" s="97" t="s">
        <v>1303</v>
      </c>
      <c r="E140" s="12" t="s">
        <v>276</v>
      </c>
      <c r="F140" s="97" t="s">
        <v>1324</v>
      </c>
    </row>
    <row r="141" spans="2:6" ht="30" customHeight="1" outlineLevel="2" x14ac:dyDescent="0.2">
      <c r="B141" s="11">
        <f t="shared" si="2"/>
        <v>138</v>
      </c>
      <c r="C141" s="12" t="s">
        <v>277</v>
      </c>
      <c r="D141" s="97" t="s">
        <v>981</v>
      </c>
      <c r="E141" s="31" t="s">
        <v>278</v>
      </c>
      <c r="F141" s="31" t="s">
        <v>1324</v>
      </c>
    </row>
    <row r="142" spans="2:6" ht="30" hidden="1" customHeight="1" outlineLevel="3" x14ac:dyDescent="0.2">
      <c r="B142" s="13">
        <f t="shared" si="2"/>
        <v>139</v>
      </c>
      <c r="C142" s="14" t="s">
        <v>279</v>
      </c>
      <c r="D142" s="15" t="s">
        <v>982</v>
      </c>
      <c r="E142" s="14" t="s">
        <v>280</v>
      </c>
      <c r="F142" s="15" t="s">
        <v>1324</v>
      </c>
    </row>
    <row r="143" spans="2:6" ht="30" hidden="1" customHeight="1" outlineLevel="3" x14ac:dyDescent="0.2">
      <c r="B143" s="13">
        <f t="shared" si="2"/>
        <v>140</v>
      </c>
      <c r="C143" s="14" t="s">
        <v>281</v>
      </c>
      <c r="D143" s="15" t="s">
        <v>1079</v>
      </c>
      <c r="E143" s="14" t="s">
        <v>282</v>
      </c>
      <c r="F143" s="15" t="s">
        <v>1324</v>
      </c>
    </row>
    <row r="144" spans="2:6" ht="30" customHeight="1" outlineLevel="1" x14ac:dyDescent="0.2">
      <c r="B144" s="9">
        <f>B143+1</f>
        <v>141</v>
      </c>
      <c r="C144" s="10" t="s">
        <v>283</v>
      </c>
      <c r="D144" s="67" t="s">
        <v>997</v>
      </c>
      <c r="E144" s="10" t="s">
        <v>284</v>
      </c>
      <c r="F144" s="67" t="s">
        <v>1325</v>
      </c>
    </row>
    <row r="145" spans="2:6" ht="30" customHeight="1" outlineLevel="2" x14ac:dyDescent="0.2">
      <c r="B145" s="11">
        <f t="shared" si="2"/>
        <v>142</v>
      </c>
      <c r="C145" s="12" t="s">
        <v>285</v>
      </c>
      <c r="D145" s="97" t="s">
        <v>1002</v>
      </c>
      <c r="E145" s="23" t="s">
        <v>286</v>
      </c>
      <c r="F145" s="103" t="s">
        <v>1325</v>
      </c>
    </row>
    <row r="146" spans="2:6" ht="30" customHeight="1" outlineLevel="2" x14ac:dyDescent="0.2">
      <c r="B146" s="11">
        <f t="shared" si="2"/>
        <v>143</v>
      </c>
      <c r="C146" s="12" t="s">
        <v>287</v>
      </c>
      <c r="D146" s="97" t="s">
        <v>1004</v>
      </c>
      <c r="E146" s="12" t="s">
        <v>288</v>
      </c>
      <c r="F146" s="97" t="s">
        <v>1325</v>
      </c>
    </row>
    <row r="147" spans="2:6" ht="30" customHeight="1" outlineLevel="3" x14ac:dyDescent="0.2">
      <c r="B147" s="13">
        <f t="shared" si="2"/>
        <v>144</v>
      </c>
      <c r="C147" s="14" t="s">
        <v>289</v>
      </c>
      <c r="D147" s="15" t="s">
        <v>1006</v>
      </c>
      <c r="E147" s="14" t="s">
        <v>290</v>
      </c>
      <c r="F147" s="15" t="s">
        <v>1325</v>
      </c>
    </row>
    <row r="148" spans="2:6" ht="30" customHeight="1" outlineLevel="3" x14ac:dyDescent="0.2">
      <c r="B148" s="13">
        <f t="shared" si="2"/>
        <v>145</v>
      </c>
      <c r="C148" s="14" t="s">
        <v>291</v>
      </c>
      <c r="D148" s="15" t="s">
        <v>1007</v>
      </c>
      <c r="E148" s="14" t="s">
        <v>292</v>
      </c>
      <c r="F148" s="15" t="s">
        <v>1325</v>
      </c>
    </row>
    <row r="149" spans="2:6" ht="30" customHeight="1" outlineLevel="3" x14ac:dyDescent="0.2">
      <c r="B149" s="13">
        <f t="shared" si="2"/>
        <v>146</v>
      </c>
      <c r="C149" s="14" t="s">
        <v>293</v>
      </c>
      <c r="D149" s="15" t="s">
        <v>1008</v>
      </c>
      <c r="E149" s="14" t="s">
        <v>294</v>
      </c>
      <c r="F149" s="15" t="s">
        <v>1325</v>
      </c>
    </row>
    <row r="150" spans="2:6" ht="30" customHeight="1" outlineLevel="3" x14ac:dyDescent="0.2">
      <c r="B150" s="13">
        <f t="shared" si="2"/>
        <v>147</v>
      </c>
      <c r="C150" s="14" t="s">
        <v>295</v>
      </c>
      <c r="D150" s="15" t="s">
        <v>1009</v>
      </c>
      <c r="E150" s="14" t="s">
        <v>296</v>
      </c>
      <c r="F150" s="15" t="s">
        <v>1325</v>
      </c>
    </row>
    <row r="151" spans="2:6" ht="30" customHeight="1" outlineLevel="3" x14ac:dyDescent="0.2">
      <c r="B151" s="13">
        <f t="shared" si="2"/>
        <v>148</v>
      </c>
      <c r="C151" s="14" t="s">
        <v>297</v>
      </c>
      <c r="D151" s="15" t="s">
        <v>1005</v>
      </c>
      <c r="E151" s="14" t="s">
        <v>298</v>
      </c>
      <c r="F151" s="15" t="s">
        <v>1325</v>
      </c>
    </row>
    <row r="152" spans="2:6" ht="30" customHeight="1" outlineLevel="3" x14ac:dyDescent="0.2">
      <c r="B152" s="13">
        <f t="shared" si="2"/>
        <v>149</v>
      </c>
      <c r="C152" s="14" t="s">
        <v>299</v>
      </c>
      <c r="D152" s="15" t="s">
        <v>1194</v>
      </c>
      <c r="E152" s="14" t="s">
        <v>300</v>
      </c>
      <c r="F152" s="15" t="s">
        <v>1325</v>
      </c>
    </row>
    <row r="153" spans="2:6" ht="30" customHeight="1" outlineLevel="2" x14ac:dyDescent="0.2">
      <c r="B153" s="11">
        <f t="shared" si="2"/>
        <v>150</v>
      </c>
      <c r="C153" s="12" t="s">
        <v>301</v>
      </c>
      <c r="D153" s="97" t="s">
        <v>998</v>
      </c>
      <c r="E153" s="17" t="s">
        <v>302</v>
      </c>
      <c r="F153" s="31" t="s">
        <v>1325</v>
      </c>
    </row>
    <row r="154" spans="2:6" ht="30" customHeight="1" outlineLevel="3" x14ac:dyDescent="0.2">
      <c r="B154" s="13">
        <f t="shared" si="2"/>
        <v>151</v>
      </c>
      <c r="C154" s="14" t="s">
        <v>303</v>
      </c>
      <c r="D154" s="15" t="s">
        <v>999</v>
      </c>
      <c r="E154" s="14" t="s">
        <v>304</v>
      </c>
      <c r="F154" s="15" t="s">
        <v>1325</v>
      </c>
    </row>
    <row r="155" spans="2:6" ht="30" customHeight="1" outlineLevel="3" x14ac:dyDescent="0.2">
      <c r="B155" s="13">
        <f t="shared" si="2"/>
        <v>152</v>
      </c>
      <c r="C155" s="14" t="s">
        <v>305</v>
      </c>
      <c r="D155" s="15" t="s">
        <v>1003</v>
      </c>
      <c r="E155" s="14" t="s">
        <v>306</v>
      </c>
      <c r="F155" s="15" t="s">
        <v>1325</v>
      </c>
    </row>
    <row r="156" spans="2:6" ht="30" customHeight="1" outlineLevel="3" x14ac:dyDescent="0.2">
      <c r="B156" s="13">
        <f t="shared" si="2"/>
        <v>153</v>
      </c>
      <c r="C156" s="14" t="s">
        <v>307</v>
      </c>
      <c r="D156" s="15" t="s">
        <v>1089</v>
      </c>
      <c r="E156" s="14" t="s">
        <v>308</v>
      </c>
      <c r="F156" s="15" t="s">
        <v>1325</v>
      </c>
    </row>
    <row r="157" spans="2:6" ht="30" customHeight="1" outlineLevel="3" x14ac:dyDescent="0.2">
      <c r="B157" s="13">
        <f t="shared" si="2"/>
        <v>154</v>
      </c>
      <c r="C157" s="14" t="s">
        <v>309</v>
      </c>
      <c r="D157" s="15" t="s">
        <v>1088</v>
      </c>
      <c r="E157" s="14" t="s">
        <v>310</v>
      </c>
      <c r="F157" s="15" t="s">
        <v>1325</v>
      </c>
    </row>
    <row r="158" spans="2:6" ht="30" customHeight="1" outlineLevel="2" x14ac:dyDescent="0.2">
      <c r="B158" s="11">
        <f t="shared" si="2"/>
        <v>155</v>
      </c>
      <c r="C158" s="12" t="s">
        <v>311</v>
      </c>
      <c r="D158" s="97" t="s">
        <v>1000</v>
      </c>
      <c r="E158" s="17" t="s">
        <v>312</v>
      </c>
      <c r="F158" s="31" t="s">
        <v>1325</v>
      </c>
    </row>
    <row r="159" spans="2:6" ht="30" customHeight="1" outlineLevel="3" x14ac:dyDescent="0.2">
      <c r="B159" s="13">
        <f t="shared" si="2"/>
        <v>156</v>
      </c>
      <c r="C159" s="14" t="s">
        <v>313</v>
      </c>
      <c r="D159" s="15" t="s">
        <v>1001</v>
      </c>
      <c r="E159" s="14" t="s">
        <v>314</v>
      </c>
      <c r="F159" s="15" t="s">
        <v>1325</v>
      </c>
    </row>
    <row r="160" spans="2:6" ht="30" customHeight="1" outlineLevel="2" x14ac:dyDescent="0.2">
      <c r="B160" s="11">
        <f t="shared" si="2"/>
        <v>157</v>
      </c>
      <c r="C160" s="12" t="s">
        <v>315</v>
      </c>
      <c r="D160" s="97" t="s">
        <v>1212</v>
      </c>
      <c r="E160" s="12" t="s">
        <v>316</v>
      </c>
      <c r="F160" s="97" t="s">
        <v>1325</v>
      </c>
    </row>
    <row r="161" spans="2:6" ht="30" customHeight="1" outlineLevel="1" x14ac:dyDescent="0.2">
      <c r="B161" s="9">
        <f t="shared" si="2"/>
        <v>158</v>
      </c>
      <c r="C161" s="10" t="s">
        <v>317</v>
      </c>
      <c r="D161" s="67" t="s">
        <v>983</v>
      </c>
      <c r="E161" s="10" t="s">
        <v>318</v>
      </c>
      <c r="F161" s="67" t="s">
        <v>1325</v>
      </c>
    </row>
    <row r="162" spans="2:6" ht="30" customHeight="1" outlineLevel="2" x14ac:dyDescent="0.2">
      <c r="B162" s="11">
        <f t="shared" si="2"/>
        <v>159</v>
      </c>
      <c r="C162" s="12" t="s">
        <v>319</v>
      </c>
      <c r="D162" s="97" t="s">
        <v>1304</v>
      </c>
      <c r="E162" s="23" t="s">
        <v>320</v>
      </c>
      <c r="F162" s="103" t="s">
        <v>1325</v>
      </c>
    </row>
    <row r="163" spans="2:6" ht="30" customHeight="1" outlineLevel="2" x14ac:dyDescent="0.2">
      <c r="B163" s="11">
        <f t="shared" si="2"/>
        <v>160</v>
      </c>
      <c r="C163" s="12" t="s">
        <v>321</v>
      </c>
      <c r="D163" s="97" t="s">
        <v>1019</v>
      </c>
      <c r="E163" s="12" t="s">
        <v>322</v>
      </c>
      <c r="F163" s="97" t="s">
        <v>1325</v>
      </c>
    </row>
    <row r="164" spans="2:6" ht="30" customHeight="1" outlineLevel="3" x14ac:dyDescent="0.2">
      <c r="B164" s="13">
        <f t="shared" si="2"/>
        <v>161</v>
      </c>
      <c r="C164" s="14" t="s">
        <v>323</v>
      </c>
      <c r="D164" s="15" t="s">
        <v>1020</v>
      </c>
      <c r="E164" s="14" t="s">
        <v>324</v>
      </c>
      <c r="F164" s="15" t="s">
        <v>1325</v>
      </c>
    </row>
    <row r="165" spans="2:6" ht="30" customHeight="1" outlineLevel="3" x14ac:dyDescent="0.2">
      <c r="B165" s="13">
        <f t="shared" si="2"/>
        <v>162</v>
      </c>
      <c r="C165" s="14" t="s">
        <v>325</v>
      </c>
      <c r="D165" s="15" t="s">
        <v>1021</v>
      </c>
      <c r="E165" s="14" t="s">
        <v>326</v>
      </c>
      <c r="F165" s="15" t="s">
        <v>1325</v>
      </c>
    </row>
    <row r="166" spans="2:6" ht="30" customHeight="1" outlineLevel="4" x14ac:dyDescent="0.2">
      <c r="B166" s="33">
        <f t="shared" si="2"/>
        <v>163</v>
      </c>
      <c r="C166" s="34" t="s">
        <v>327</v>
      </c>
      <c r="D166" s="41" t="s">
        <v>1136</v>
      </c>
      <c r="E166" s="35" t="s">
        <v>328</v>
      </c>
      <c r="F166" s="53" t="s">
        <v>1325</v>
      </c>
    </row>
    <row r="167" spans="2:6" ht="30" customHeight="1" outlineLevel="4" x14ac:dyDescent="0.2">
      <c r="B167" s="36">
        <f t="shared" si="2"/>
        <v>164</v>
      </c>
      <c r="C167" s="37" t="s">
        <v>329</v>
      </c>
      <c r="D167" s="101" t="s">
        <v>1305</v>
      </c>
      <c r="E167" s="37" t="s">
        <v>330</v>
      </c>
      <c r="F167" s="101" t="s">
        <v>1325</v>
      </c>
    </row>
    <row r="168" spans="2:6" ht="30" customHeight="1" outlineLevel="4" x14ac:dyDescent="0.2">
      <c r="B168" s="33">
        <f t="shared" si="2"/>
        <v>165</v>
      </c>
      <c r="C168" s="34" t="s">
        <v>331</v>
      </c>
      <c r="D168" s="41" t="s">
        <v>1137</v>
      </c>
      <c r="E168" s="34" t="s">
        <v>332</v>
      </c>
      <c r="F168" s="41" t="s">
        <v>1325</v>
      </c>
    </row>
    <row r="169" spans="2:6" ht="30" customHeight="1" outlineLevel="3" x14ac:dyDescent="0.2">
      <c r="B169" s="13">
        <f t="shared" si="2"/>
        <v>166</v>
      </c>
      <c r="C169" s="14" t="s">
        <v>333</v>
      </c>
      <c r="D169" s="15" t="s">
        <v>1022</v>
      </c>
      <c r="E169" s="14" t="s">
        <v>334</v>
      </c>
      <c r="F169" s="15" t="s">
        <v>1325</v>
      </c>
    </row>
    <row r="170" spans="2:6" ht="30" customHeight="1" outlineLevel="4" x14ac:dyDescent="0.2">
      <c r="B170" s="33">
        <f t="shared" si="2"/>
        <v>167</v>
      </c>
      <c r="C170" s="34" t="s">
        <v>335</v>
      </c>
      <c r="D170" s="41" t="s">
        <v>1138</v>
      </c>
      <c r="E170" s="34" t="s">
        <v>336</v>
      </c>
      <c r="F170" s="41" t="s">
        <v>1325</v>
      </c>
    </row>
    <row r="171" spans="2:6" ht="30" customHeight="1" outlineLevel="4" x14ac:dyDescent="0.2">
      <c r="B171" s="33">
        <f t="shared" si="2"/>
        <v>168</v>
      </c>
      <c r="C171" s="34" t="s">
        <v>337</v>
      </c>
      <c r="D171" s="41" t="s">
        <v>1139</v>
      </c>
      <c r="E171" s="34" t="s">
        <v>338</v>
      </c>
      <c r="F171" s="41" t="s">
        <v>1325</v>
      </c>
    </row>
    <row r="172" spans="2:6" ht="30" customHeight="1" outlineLevel="4" x14ac:dyDescent="0.2">
      <c r="B172" s="33">
        <f t="shared" si="2"/>
        <v>169</v>
      </c>
      <c r="C172" s="34" t="s">
        <v>339</v>
      </c>
      <c r="D172" s="41" t="s">
        <v>1195</v>
      </c>
      <c r="E172" s="34" t="s">
        <v>340</v>
      </c>
      <c r="F172" s="41" t="s">
        <v>1325</v>
      </c>
    </row>
    <row r="173" spans="2:6" ht="30" customHeight="1" outlineLevel="2" x14ac:dyDescent="0.2">
      <c r="B173" s="11">
        <f t="shared" si="2"/>
        <v>170</v>
      </c>
      <c r="C173" s="12" t="s">
        <v>341</v>
      </c>
      <c r="D173" s="97" t="s">
        <v>1015</v>
      </c>
      <c r="E173" s="17" t="s">
        <v>342</v>
      </c>
      <c r="F173" s="31" t="s">
        <v>1325</v>
      </c>
    </row>
    <row r="174" spans="2:6" ht="30" customHeight="1" outlineLevel="3" x14ac:dyDescent="0.2">
      <c r="B174" s="13">
        <f t="shared" si="2"/>
        <v>171</v>
      </c>
      <c r="C174" s="14" t="s">
        <v>343</v>
      </c>
      <c r="D174" s="15" t="s">
        <v>1016</v>
      </c>
      <c r="E174" s="14" t="s">
        <v>344</v>
      </c>
      <c r="F174" s="15" t="s">
        <v>1325</v>
      </c>
    </row>
    <row r="175" spans="2:6" ht="30" customHeight="1" outlineLevel="3" x14ac:dyDescent="0.2">
      <c r="B175" s="13">
        <f t="shared" si="2"/>
        <v>172</v>
      </c>
      <c r="C175" s="14" t="s">
        <v>345</v>
      </c>
      <c r="D175" s="15" t="s">
        <v>1017</v>
      </c>
      <c r="E175" s="14" t="s">
        <v>346</v>
      </c>
      <c r="F175" s="15" t="s">
        <v>1325</v>
      </c>
    </row>
    <row r="176" spans="2:6" ht="30" hidden="1" customHeight="1" outlineLevel="4" x14ac:dyDescent="0.2">
      <c r="B176" s="33">
        <f t="shared" si="2"/>
        <v>173</v>
      </c>
      <c r="C176" s="34" t="s">
        <v>347</v>
      </c>
      <c r="D176" s="41" t="s">
        <v>1131</v>
      </c>
      <c r="E176" s="34" t="s">
        <v>348</v>
      </c>
      <c r="F176" s="41" t="s">
        <v>1325</v>
      </c>
    </row>
    <row r="177" spans="2:6" ht="30" hidden="1" customHeight="1" outlineLevel="4" x14ac:dyDescent="0.2">
      <c r="B177" s="33">
        <f t="shared" si="2"/>
        <v>174</v>
      </c>
      <c r="C177" s="34" t="s">
        <v>349</v>
      </c>
      <c r="D177" s="41" t="s">
        <v>1132</v>
      </c>
      <c r="E177" s="34" t="s">
        <v>350</v>
      </c>
      <c r="F177" s="41" t="s">
        <v>1325</v>
      </c>
    </row>
    <row r="178" spans="2:6" ht="30" hidden="1" customHeight="1" outlineLevel="4" x14ac:dyDescent="0.2">
      <c r="B178" s="33">
        <f t="shared" si="2"/>
        <v>175</v>
      </c>
      <c r="C178" s="34" t="s">
        <v>351</v>
      </c>
      <c r="D178" s="41" t="s">
        <v>1133</v>
      </c>
      <c r="E178" s="34" t="s">
        <v>352</v>
      </c>
      <c r="F178" s="41" t="s">
        <v>1325</v>
      </c>
    </row>
    <row r="179" spans="2:6" ht="30" hidden="1" customHeight="1" outlineLevel="4" x14ac:dyDescent="0.2">
      <c r="B179" s="33">
        <f t="shared" si="2"/>
        <v>176</v>
      </c>
      <c r="C179" s="34" t="s">
        <v>353</v>
      </c>
      <c r="D179" s="41" t="s">
        <v>1134</v>
      </c>
      <c r="E179" s="34" t="s">
        <v>354</v>
      </c>
      <c r="F179" s="41" t="s">
        <v>1325</v>
      </c>
    </row>
    <row r="180" spans="2:6" ht="30" hidden="1" customHeight="1" outlineLevel="4" x14ac:dyDescent="0.2">
      <c r="B180" s="33">
        <f t="shared" si="2"/>
        <v>177</v>
      </c>
      <c r="C180" s="34" t="s">
        <v>355</v>
      </c>
      <c r="D180" s="41" t="s">
        <v>1135</v>
      </c>
      <c r="E180" s="34" t="s">
        <v>356</v>
      </c>
      <c r="F180" s="41" t="s">
        <v>1325</v>
      </c>
    </row>
    <row r="181" spans="2:6" ht="30" hidden="1" customHeight="1" outlineLevel="4" x14ac:dyDescent="0.2">
      <c r="B181" s="33">
        <f t="shared" si="2"/>
        <v>178</v>
      </c>
      <c r="C181" s="34" t="s">
        <v>357</v>
      </c>
      <c r="D181" s="41" t="s">
        <v>1147</v>
      </c>
      <c r="E181" s="38" t="s">
        <v>358</v>
      </c>
      <c r="F181" s="109" t="s">
        <v>1325</v>
      </c>
    </row>
    <row r="182" spans="2:6" ht="30" hidden="1" customHeight="1" outlineLevel="4" x14ac:dyDescent="0.2">
      <c r="B182" s="33">
        <f t="shared" si="2"/>
        <v>179</v>
      </c>
      <c r="C182" s="34" t="s">
        <v>359</v>
      </c>
      <c r="D182" s="41" t="s">
        <v>1179</v>
      </c>
      <c r="E182" s="34" t="s">
        <v>360</v>
      </c>
      <c r="F182" s="41" t="s">
        <v>1325</v>
      </c>
    </row>
    <row r="183" spans="2:6" ht="30" customHeight="1" outlineLevel="3" collapsed="1" x14ac:dyDescent="0.2">
      <c r="B183" s="13">
        <f t="shared" si="2"/>
        <v>180</v>
      </c>
      <c r="C183" s="14" t="s">
        <v>361</v>
      </c>
      <c r="D183" s="15" t="s">
        <v>1018</v>
      </c>
      <c r="E183" s="14" t="s">
        <v>362</v>
      </c>
      <c r="F183" s="15" t="s">
        <v>1325</v>
      </c>
    </row>
    <row r="184" spans="2:6" ht="30" customHeight="1" outlineLevel="2" x14ac:dyDescent="0.2">
      <c r="B184" s="11">
        <f t="shared" si="2"/>
        <v>181</v>
      </c>
      <c r="C184" s="12" t="s">
        <v>363</v>
      </c>
      <c r="D184" s="97" t="s">
        <v>1035</v>
      </c>
      <c r="E184" s="12" t="s">
        <v>364</v>
      </c>
      <c r="F184" s="97" t="s">
        <v>1328</v>
      </c>
    </row>
    <row r="185" spans="2:6" ht="30" hidden="1" customHeight="1" outlineLevel="3" x14ac:dyDescent="0.2">
      <c r="B185" s="13">
        <f t="shared" si="2"/>
        <v>182</v>
      </c>
      <c r="C185" s="14" t="s">
        <v>365</v>
      </c>
      <c r="D185" s="15" t="s">
        <v>1036</v>
      </c>
      <c r="E185" s="14" t="s">
        <v>366</v>
      </c>
      <c r="F185" s="15" t="s">
        <v>1325</v>
      </c>
    </row>
    <row r="186" spans="2:6" ht="30" hidden="1" customHeight="1" outlineLevel="3" x14ac:dyDescent="0.2">
      <c r="B186" s="13">
        <f t="shared" si="2"/>
        <v>183</v>
      </c>
      <c r="C186" s="14" t="s">
        <v>367</v>
      </c>
      <c r="D186" s="15" t="s">
        <v>1037</v>
      </c>
      <c r="E186" s="14" t="s">
        <v>368</v>
      </c>
      <c r="F186" s="15" t="s">
        <v>1325</v>
      </c>
    </row>
    <row r="187" spans="2:6" ht="30" hidden="1" customHeight="1" outlineLevel="3" x14ac:dyDescent="0.2">
      <c r="B187" s="13">
        <f t="shared" si="2"/>
        <v>184</v>
      </c>
      <c r="C187" s="14" t="s">
        <v>369</v>
      </c>
      <c r="D187" s="15" t="s">
        <v>1038</v>
      </c>
      <c r="E187" s="14" t="s">
        <v>370</v>
      </c>
      <c r="F187" s="15" t="s">
        <v>1325</v>
      </c>
    </row>
    <row r="188" spans="2:6" ht="30" hidden="1" customHeight="1" outlineLevel="3" x14ac:dyDescent="0.2">
      <c r="B188" s="13">
        <f t="shared" si="2"/>
        <v>185</v>
      </c>
      <c r="C188" s="14" t="s">
        <v>371</v>
      </c>
      <c r="D188" s="15" t="s">
        <v>1039</v>
      </c>
      <c r="E188" s="14" t="s">
        <v>372</v>
      </c>
      <c r="F188" s="15" t="s">
        <v>1325</v>
      </c>
    </row>
    <row r="189" spans="2:6" ht="30" hidden="1" customHeight="1" outlineLevel="3" x14ac:dyDescent="0.2">
      <c r="B189" s="13">
        <f t="shared" si="2"/>
        <v>186</v>
      </c>
      <c r="C189" s="14" t="s">
        <v>373</v>
      </c>
      <c r="D189" s="15" t="s">
        <v>1040</v>
      </c>
      <c r="E189" s="14" t="s">
        <v>374</v>
      </c>
      <c r="F189" s="15" t="s">
        <v>1325</v>
      </c>
    </row>
    <row r="190" spans="2:6" ht="30" hidden="1" customHeight="1" outlineLevel="3" x14ac:dyDescent="0.2">
      <c r="B190" s="13">
        <f t="shared" si="2"/>
        <v>187</v>
      </c>
      <c r="C190" s="14" t="s">
        <v>375</v>
      </c>
      <c r="D190" s="15" t="s">
        <v>1041</v>
      </c>
      <c r="E190" s="14" t="s">
        <v>376</v>
      </c>
      <c r="F190" s="15" t="s">
        <v>1325</v>
      </c>
    </row>
    <row r="191" spans="2:6" ht="30" hidden="1" customHeight="1" outlineLevel="3" x14ac:dyDescent="0.2">
      <c r="B191" s="13">
        <f t="shared" si="2"/>
        <v>188</v>
      </c>
      <c r="C191" s="14" t="s">
        <v>377</v>
      </c>
      <c r="D191" s="15" t="s">
        <v>1042</v>
      </c>
      <c r="E191" s="14" t="s">
        <v>378</v>
      </c>
      <c r="F191" s="15" t="s">
        <v>1325</v>
      </c>
    </row>
    <row r="192" spans="2:6" ht="30" hidden="1" customHeight="1" outlineLevel="3" x14ac:dyDescent="0.2">
      <c r="B192" s="13">
        <f t="shared" si="2"/>
        <v>189</v>
      </c>
      <c r="C192" s="14" t="s">
        <v>379</v>
      </c>
      <c r="D192" s="15" t="s">
        <v>1043</v>
      </c>
      <c r="E192" s="14" t="s">
        <v>380</v>
      </c>
      <c r="F192" s="15" t="s">
        <v>1325</v>
      </c>
    </row>
    <row r="193" spans="2:6" ht="30" hidden="1" customHeight="1" outlineLevel="3" x14ac:dyDescent="0.2">
      <c r="B193" s="13">
        <f t="shared" si="2"/>
        <v>190</v>
      </c>
      <c r="C193" s="14" t="s">
        <v>381</v>
      </c>
      <c r="D193" s="15" t="s">
        <v>1044</v>
      </c>
      <c r="E193" s="14" t="s">
        <v>382</v>
      </c>
      <c r="F193" s="15" t="s">
        <v>1325</v>
      </c>
    </row>
    <row r="194" spans="2:6" ht="30" hidden="1" customHeight="1" outlineLevel="3" x14ac:dyDescent="0.2">
      <c r="B194" s="13">
        <f t="shared" si="2"/>
        <v>191</v>
      </c>
      <c r="C194" s="14" t="s">
        <v>383</v>
      </c>
      <c r="D194" s="15" t="s">
        <v>1045</v>
      </c>
      <c r="E194" s="14" t="s">
        <v>384</v>
      </c>
      <c r="F194" s="15" t="s">
        <v>1325</v>
      </c>
    </row>
    <row r="195" spans="2:6" ht="30" hidden="1" customHeight="1" outlineLevel="3" x14ac:dyDescent="0.2">
      <c r="B195" s="13">
        <f t="shared" si="2"/>
        <v>192</v>
      </c>
      <c r="C195" s="14" t="s">
        <v>385</v>
      </c>
      <c r="D195" s="15" t="s">
        <v>1046</v>
      </c>
      <c r="E195" s="14" t="s">
        <v>386</v>
      </c>
      <c r="F195" s="15" t="s">
        <v>1325</v>
      </c>
    </row>
    <row r="196" spans="2:6" ht="30" hidden="1" customHeight="1" outlineLevel="3" x14ac:dyDescent="0.2">
      <c r="B196" s="13">
        <f t="shared" si="2"/>
        <v>193</v>
      </c>
      <c r="C196" s="14" t="s">
        <v>387</v>
      </c>
      <c r="D196" s="15" t="s">
        <v>1047</v>
      </c>
      <c r="E196" s="14" t="s">
        <v>388</v>
      </c>
      <c r="F196" s="15" t="s">
        <v>1325</v>
      </c>
    </row>
    <row r="197" spans="2:6" ht="30" hidden="1" customHeight="1" outlineLevel="3" x14ac:dyDescent="0.2">
      <c r="B197" s="13">
        <f t="shared" si="2"/>
        <v>194</v>
      </c>
      <c r="C197" s="14" t="s">
        <v>389</v>
      </c>
      <c r="D197" s="15" t="s">
        <v>1048</v>
      </c>
      <c r="E197" s="14" t="s">
        <v>390</v>
      </c>
      <c r="F197" s="15" t="s">
        <v>1325</v>
      </c>
    </row>
    <row r="198" spans="2:6" ht="30" hidden="1" customHeight="1" outlineLevel="3" x14ac:dyDescent="0.2">
      <c r="B198" s="13">
        <f t="shared" ref="B198:B261" si="3">B197+1</f>
        <v>195</v>
      </c>
      <c r="C198" s="14" t="s">
        <v>391</v>
      </c>
      <c r="D198" s="15" t="s">
        <v>1049</v>
      </c>
      <c r="E198" s="14" t="s">
        <v>392</v>
      </c>
      <c r="F198" s="15" t="s">
        <v>1325</v>
      </c>
    </row>
    <row r="199" spans="2:6" ht="30" hidden="1" customHeight="1" outlineLevel="3" x14ac:dyDescent="0.2">
      <c r="B199" s="13">
        <f t="shared" si="3"/>
        <v>196</v>
      </c>
      <c r="C199" s="14" t="s">
        <v>393</v>
      </c>
      <c r="D199" s="15" t="s">
        <v>1050</v>
      </c>
      <c r="E199" s="14" t="s">
        <v>394</v>
      </c>
      <c r="F199" s="15" t="s">
        <v>1325</v>
      </c>
    </row>
    <row r="200" spans="2:6" ht="30" hidden="1" customHeight="1" outlineLevel="3" x14ac:dyDescent="0.2">
      <c r="B200" s="13">
        <f t="shared" si="3"/>
        <v>197</v>
      </c>
      <c r="C200" s="14" t="s">
        <v>395</v>
      </c>
      <c r="D200" s="15" t="s">
        <v>1051</v>
      </c>
      <c r="E200" s="14" t="s">
        <v>396</v>
      </c>
      <c r="F200" s="15" t="s">
        <v>1325</v>
      </c>
    </row>
    <row r="201" spans="2:6" ht="30" hidden="1" customHeight="1" outlineLevel="3" x14ac:dyDescent="0.2">
      <c r="B201" s="13">
        <f t="shared" si="3"/>
        <v>198</v>
      </c>
      <c r="C201" s="14" t="s">
        <v>397</v>
      </c>
      <c r="D201" s="15" t="s">
        <v>1052</v>
      </c>
      <c r="E201" s="14" t="s">
        <v>398</v>
      </c>
      <c r="F201" s="15" t="s">
        <v>1325</v>
      </c>
    </row>
    <row r="202" spans="2:6" ht="30" hidden="1" customHeight="1" outlineLevel="3" x14ac:dyDescent="0.2">
      <c r="B202" s="13">
        <f t="shared" si="3"/>
        <v>199</v>
      </c>
      <c r="C202" s="14" t="s">
        <v>399</v>
      </c>
      <c r="D202" s="15" t="s">
        <v>1053</v>
      </c>
      <c r="E202" s="14" t="s">
        <v>400</v>
      </c>
      <c r="F202" s="15" t="s">
        <v>1325</v>
      </c>
    </row>
    <row r="203" spans="2:6" ht="30" hidden="1" customHeight="1" outlineLevel="3" x14ac:dyDescent="0.2">
      <c r="B203" s="13">
        <f t="shared" si="3"/>
        <v>200</v>
      </c>
      <c r="C203" s="14" t="s">
        <v>401</v>
      </c>
      <c r="D203" s="15" t="s">
        <v>1054</v>
      </c>
      <c r="E203" s="14" t="s">
        <v>402</v>
      </c>
      <c r="F203" s="15" t="s">
        <v>1325</v>
      </c>
    </row>
    <row r="204" spans="2:6" ht="30" hidden="1" customHeight="1" outlineLevel="3" x14ac:dyDescent="0.2">
      <c r="B204" s="13">
        <f t="shared" si="3"/>
        <v>201</v>
      </c>
      <c r="C204" s="14" t="s">
        <v>403</v>
      </c>
      <c r="D204" s="15" t="s">
        <v>1057</v>
      </c>
      <c r="E204" s="14" t="s">
        <v>404</v>
      </c>
      <c r="F204" s="15" t="s">
        <v>1325</v>
      </c>
    </row>
    <row r="205" spans="2:6" ht="30" hidden="1" customHeight="1" outlineLevel="3" x14ac:dyDescent="0.2">
      <c r="B205" s="13">
        <f t="shared" si="3"/>
        <v>202</v>
      </c>
      <c r="C205" s="14" t="s">
        <v>405</v>
      </c>
      <c r="D205" s="15" t="s">
        <v>1150</v>
      </c>
      <c r="E205" s="39" t="s">
        <v>406</v>
      </c>
      <c r="F205" s="15" t="s">
        <v>1325</v>
      </c>
    </row>
    <row r="206" spans="2:6" ht="30" hidden="1" customHeight="1" outlineLevel="3" x14ac:dyDescent="0.2">
      <c r="B206" s="13">
        <f t="shared" si="3"/>
        <v>203</v>
      </c>
      <c r="C206" s="14" t="s">
        <v>407</v>
      </c>
      <c r="D206" s="15" t="s">
        <v>1180</v>
      </c>
      <c r="E206" s="39" t="s">
        <v>408</v>
      </c>
      <c r="F206" s="15" t="s">
        <v>1325</v>
      </c>
    </row>
    <row r="207" spans="2:6" ht="30" hidden="1" customHeight="1" outlineLevel="3" x14ac:dyDescent="0.2">
      <c r="B207" s="13">
        <f t="shared" si="3"/>
        <v>204</v>
      </c>
      <c r="C207" s="14" t="s">
        <v>409</v>
      </c>
      <c r="D207" s="15" t="s">
        <v>1181</v>
      </c>
      <c r="E207" s="39" t="s">
        <v>410</v>
      </c>
      <c r="F207" s="15" t="s">
        <v>1325</v>
      </c>
    </row>
    <row r="208" spans="2:6" ht="30" hidden="1" customHeight="1" outlineLevel="3" x14ac:dyDescent="0.2">
      <c r="B208" s="13">
        <f t="shared" si="3"/>
        <v>205</v>
      </c>
      <c r="C208" s="14" t="s">
        <v>411</v>
      </c>
      <c r="D208" s="15" t="s">
        <v>1148</v>
      </c>
      <c r="E208" s="14" t="s">
        <v>412</v>
      </c>
      <c r="F208" s="15" t="s">
        <v>1325</v>
      </c>
    </row>
    <row r="209" spans="2:6" ht="30" customHeight="1" outlineLevel="2" collapsed="1" x14ac:dyDescent="0.2">
      <c r="B209" s="11">
        <f t="shared" si="3"/>
        <v>206</v>
      </c>
      <c r="C209" s="12" t="s">
        <v>413</v>
      </c>
      <c r="D209" s="97" t="s">
        <v>1306</v>
      </c>
      <c r="E209" s="17" t="s">
        <v>414</v>
      </c>
      <c r="F209" s="31" t="s">
        <v>1325</v>
      </c>
    </row>
    <row r="210" spans="2:6" ht="30" customHeight="1" outlineLevel="2" x14ac:dyDescent="0.2">
      <c r="B210" s="11">
        <f t="shared" si="3"/>
        <v>207</v>
      </c>
      <c r="C210" s="12" t="s">
        <v>415</v>
      </c>
      <c r="D210" s="97" t="s">
        <v>984</v>
      </c>
      <c r="E210" s="12" t="s">
        <v>416</v>
      </c>
      <c r="F210" s="97" t="s">
        <v>1329</v>
      </c>
    </row>
    <row r="211" spans="2:6" ht="30" customHeight="1" outlineLevel="3" x14ac:dyDescent="0.2">
      <c r="B211" s="13">
        <f t="shared" si="3"/>
        <v>208</v>
      </c>
      <c r="C211" s="14" t="s">
        <v>417</v>
      </c>
      <c r="D211" s="15" t="s">
        <v>985</v>
      </c>
      <c r="E211" s="14" t="s">
        <v>418</v>
      </c>
      <c r="F211" s="15" t="s">
        <v>1329</v>
      </c>
    </row>
    <row r="212" spans="2:6" ht="30" customHeight="1" outlineLevel="3" x14ac:dyDescent="0.2">
      <c r="B212" s="13">
        <f t="shared" si="3"/>
        <v>209</v>
      </c>
      <c r="C212" s="14" t="s">
        <v>419</v>
      </c>
      <c r="D212" s="15" t="s">
        <v>986</v>
      </c>
      <c r="E212" s="14" t="s">
        <v>420</v>
      </c>
      <c r="F212" s="15" t="s">
        <v>1329</v>
      </c>
    </row>
    <row r="213" spans="2:6" ht="30" customHeight="1" outlineLevel="3" x14ac:dyDescent="0.2">
      <c r="B213" s="13">
        <f t="shared" si="3"/>
        <v>210</v>
      </c>
      <c r="C213" s="14" t="s">
        <v>421</v>
      </c>
      <c r="D213" s="15" t="s">
        <v>987</v>
      </c>
      <c r="E213" s="14" t="s">
        <v>422</v>
      </c>
      <c r="F213" s="15" t="s">
        <v>1329</v>
      </c>
    </row>
    <row r="214" spans="2:6" ht="30" customHeight="1" outlineLevel="3" x14ac:dyDescent="0.2">
      <c r="B214" s="13">
        <f t="shared" si="3"/>
        <v>211</v>
      </c>
      <c r="C214" s="14" t="s">
        <v>423</v>
      </c>
      <c r="D214" s="15" t="s">
        <v>988</v>
      </c>
      <c r="E214" s="14" t="s">
        <v>424</v>
      </c>
      <c r="F214" s="15" t="s">
        <v>1329</v>
      </c>
    </row>
    <row r="215" spans="2:6" ht="30" customHeight="1" outlineLevel="3" x14ac:dyDescent="0.2">
      <c r="B215" s="13">
        <f t="shared" si="3"/>
        <v>212</v>
      </c>
      <c r="C215" s="14" t="s">
        <v>425</v>
      </c>
      <c r="D215" s="15" t="s">
        <v>989</v>
      </c>
      <c r="E215" s="14" t="s">
        <v>426</v>
      </c>
      <c r="F215" s="15" t="s">
        <v>1329</v>
      </c>
    </row>
    <row r="216" spans="2:6" ht="30" customHeight="1" outlineLevel="3" x14ac:dyDescent="0.2">
      <c r="B216" s="13">
        <f t="shared" si="3"/>
        <v>213</v>
      </c>
      <c r="C216" s="14" t="s">
        <v>427</v>
      </c>
      <c r="D216" s="15" t="s">
        <v>990</v>
      </c>
      <c r="E216" s="14" t="s">
        <v>428</v>
      </c>
      <c r="F216" s="15" t="s">
        <v>1329</v>
      </c>
    </row>
    <row r="217" spans="2:6" ht="30" customHeight="1" outlineLevel="3" x14ac:dyDescent="0.2">
      <c r="B217" s="13">
        <f t="shared" si="3"/>
        <v>214</v>
      </c>
      <c r="C217" s="14" t="s">
        <v>429</v>
      </c>
      <c r="D217" s="15" t="s">
        <v>991</v>
      </c>
      <c r="E217" s="14" t="s">
        <v>430</v>
      </c>
      <c r="F217" s="15" t="s">
        <v>1329</v>
      </c>
    </row>
    <row r="218" spans="2:6" ht="30" customHeight="1" outlineLevel="3" x14ac:dyDescent="0.2">
      <c r="B218" s="13">
        <f t="shared" si="3"/>
        <v>215</v>
      </c>
      <c r="C218" s="14" t="s">
        <v>431</v>
      </c>
      <c r="D218" s="15" t="s">
        <v>992</v>
      </c>
      <c r="E218" s="14" t="s">
        <v>432</v>
      </c>
      <c r="F218" s="15" t="s">
        <v>1329</v>
      </c>
    </row>
    <row r="219" spans="2:6" ht="30" customHeight="1" outlineLevel="3" x14ac:dyDescent="0.2">
      <c r="B219" s="13">
        <f t="shared" si="3"/>
        <v>216</v>
      </c>
      <c r="C219" s="14" t="s">
        <v>433</v>
      </c>
      <c r="D219" s="15" t="s">
        <v>993</v>
      </c>
      <c r="E219" s="14" t="s">
        <v>434</v>
      </c>
      <c r="F219" s="15" t="s">
        <v>1329</v>
      </c>
    </row>
    <row r="220" spans="2:6" ht="30" customHeight="1" outlineLevel="3" x14ac:dyDescent="0.2">
      <c r="B220" s="13">
        <f t="shared" si="3"/>
        <v>217</v>
      </c>
      <c r="C220" s="14" t="s">
        <v>435</v>
      </c>
      <c r="D220" s="15" t="s">
        <v>994</v>
      </c>
      <c r="E220" s="14" t="s">
        <v>436</v>
      </c>
      <c r="F220" s="15" t="s">
        <v>1329</v>
      </c>
    </row>
    <row r="221" spans="2:6" ht="30" customHeight="1" outlineLevel="3" x14ac:dyDescent="0.2">
      <c r="B221" s="13">
        <f t="shared" si="3"/>
        <v>218</v>
      </c>
      <c r="C221" s="14" t="s">
        <v>437</v>
      </c>
      <c r="D221" s="15" t="s">
        <v>995</v>
      </c>
      <c r="E221" s="14" t="s">
        <v>438</v>
      </c>
      <c r="F221" s="15" t="s">
        <v>1329</v>
      </c>
    </row>
    <row r="222" spans="2:6" ht="30" customHeight="1" outlineLevel="3" x14ac:dyDescent="0.2">
      <c r="B222" s="13">
        <f t="shared" si="3"/>
        <v>219</v>
      </c>
      <c r="C222" s="14" t="s">
        <v>439</v>
      </c>
      <c r="D222" s="15" t="s">
        <v>996</v>
      </c>
      <c r="E222" s="14" t="s">
        <v>440</v>
      </c>
      <c r="F222" s="15" t="s">
        <v>1329</v>
      </c>
    </row>
    <row r="223" spans="2:6" ht="30" customHeight="1" outlineLevel="3" x14ac:dyDescent="0.2">
      <c r="B223" s="13">
        <f t="shared" si="3"/>
        <v>220</v>
      </c>
      <c r="C223" s="14" t="s">
        <v>441</v>
      </c>
      <c r="D223" s="15" t="s">
        <v>1087</v>
      </c>
      <c r="E223" s="40" t="s">
        <v>442</v>
      </c>
      <c r="F223" s="106" t="s">
        <v>1329</v>
      </c>
    </row>
    <row r="224" spans="2:6" ht="30" customHeight="1" outlineLevel="3" x14ac:dyDescent="0.2">
      <c r="B224" s="13">
        <f t="shared" si="3"/>
        <v>221</v>
      </c>
      <c r="C224" s="14" t="s">
        <v>443</v>
      </c>
      <c r="D224" s="15" t="s">
        <v>1188</v>
      </c>
      <c r="E224" s="40" t="s">
        <v>444</v>
      </c>
      <c r="F224" s="106" t="s">
        <v>1329</v>
      </c>
    </row>
    <row r="225" spans="2:6" ht="30" customHeight="1" outlineLevel="3" x14ac:dyDescent="0.2">
      <c r="B225" s="13">
        <f t="shared" si="3"/>
        <v>222</v>
      </c>
      <c r="C225" s="14" t="s">
        <v>445</v>
      </c>
      <c r="D225" s="15" t="s">
        <v>1189</v>
      </c>
      <c r="E225" s="40" t="s">
        <v>446</v>
      </c>
      <c r="F225" s="106" t="s">
        <v>1329</v>
      </c>
    </row>
    <row r="226" spans="2:6" ht="30" customHeight="1" outlineLevel="3" x14ac:dyDescent="0.2">
      <c r="B226" s="13">
        <f t="shared" si="3"/>
        <v>223</v>
      </c>
      <c r="C226" s="14" t="s">
        <v>447</v>
      </c>
      <c r="D226" s="15" t="s">
        <v>1190</v>
      </c>
      <c r="E226" s="40" t="s">
        <v>448</v>
      </c>
      <c r="F226" s="106" t="s">
        <v>1329</v>
      </c>
    </row>
    <row r="227" spans="2:6" ht="30" customHeight="1" outlineLevel="3" x14ac:dyDescent="0.2">
      <c r="B227" s="13">
        <f t="shared" si="3"/>
        <v>224</v>
      </c>
      <c r="C227" s="14" t="s">
        <v>449</v>
      </c>
      <c r="D227" s="15" t="s">
        <v>1208</v>
      </c>
      <c r="E227" s="40" t="s">
        <v>450</v>
      </c>
      <c r="F227" s="106" t="s">
        <v>1329</v>
      </c>
    </row>
    <row r="228" spans="2:6" ht="30" customHeight="1" outlineLevel="3" x14ac:dyDescent="0.2">
      <c r="B228" s="13">
        <f t="shared" si="3"/>
        <v>225</v>
      </c>
      <c r="C228" s="14" t="s">
        <v>451</v>
      </c>
      <c r="D228" s="15" t="s">
        <v>1224</v>
      </c>
      <c r="E228" s="40" t="s">
        <v>452</v>
      </c>
      <c r="F228" s="106" t="s">
        <v>1329</v>
      </c>
    </row>
    <row r="229" spans="2:6" ht="30" customHeight="1" outlineLevel="2" x14ac:dyDescent="0.2">
      <c r="B229" s="11">
        <f t="shared" si="3"/>
        <v>226</v>
      </c>
      <c r="C229" s="12" t="s">
        <v>453</v>
      </c>
      <c r="D229" s="97" t="s">
        <v>1011</v>
      </c>
      <c r="E229" s="12" t="s">
        <v>454</v>
      </c>
      <c r="F229" s="97" t="s">
        <v>1325</v>
      </c>
    </row>
    <row r="230" spans="2:6" ht="30" customHeight="1" outlineLevel="3" x14ac:dyDescent="0.2">
      <c r="B230" s="13">
        <f t="shared" si="3"/>
        <v>227</v>
      </c>
      <c r="C230" s="14" t="s">
        <v>455</v>
      </c>
      <c r="D230" s="15" t="s">
        <v>1012</v>
      </c>
      <c r="E230" s="14" t="s">
        <v>456</v>
      </c>
      <c r="F230" s="15" t="s">
        <v>1325</v>
      </c>
    </row>
    <row r="231" spans="2:6" ht="30" customHeight="1" outlineLevel="4" x14ac:dyDescent="0.2">
      <c r="B231" s="33">
        <f t="shared" si="3"/>
        <v>228</v>
      </c>
      <c r="C231" s="34" t="s">
        <v>457</v>
      </c>
      <c r="D231" s="41" t="s">
        <v>1108</v>
      </c>
      <c r="E231" s="34" t="s">
        <v>458</v>
      </c>
      <c r="F231" s="41" t="s">
        <v>1325</v>
      </c>
    </row>
    <row r="232" spans="2:6" ht="30" customHeight="1" outlineLevel="4" x14ac:dyDescent="0.2">
      <c r="B232" s="33">
        <f t="shared" si="3"/>
        <v>229</v>
      </c>
      <c r="C232" s="34" t="s">
        <v>459</v>
      </c>
      <c r="D232" s="41" t="s">
        <v>1109</v>
      </c>
      <c r="E232" s="41" t="s">
        <v>460</v>
      </c>
      <c r="F232" s="41" t="s">
        <v>1325</v>
      </c>
    </row>
    <row r="233" spans="2:6" ht="30" customHeight="1" outlineLevel="4" x14ac:dyDescent="0.2">
      <c r="B233" s="33">
        <f t="shared" si="3"/>
        <v>230</v>
      </c>
      <c r="C233" s="34" t="s">
        <v>461</v>
      </c>
      <c r="D233" s="41" t="s">
        <v>1110</v>
      </c>
      <c r="E233" s="41" t="s">
        <v>462</v>
      </c>
      <c r="F233" s="41" t="s">
        <v>1325</v>
      </c>
    </row>
    <row r="234" spans="2:6" ht="30" customHeight="1" outlineLevel="4" x14ac:dyDescent="0.2">
      <c r="B234" s="33">
        <f t="shared" si="3"/>
        <v>231</v>
      </c>
      <c r="C234" s="34" t="s">
        <v>463</v>
      </c>
      <c r="D234" s="41" t="s">
        <v>1111</v>
      </c>
      <c r="E234" s="34" t="s">
        <v>464</v>
      </c>
      <c r="F234" s="41" t="s">
        <v>1325</v>
      </c>
    </row>
    <row r="235" spans="2:6" ht="30" customHeight="1" outlineLevel="4" x14ac:dyDescent="0.2">
      <c r="B235" s="33">
        <f t="shared" si="3"/>
        <v>232</v>
      </c>
      <c r="C235" s="34" t="s">
        <v>465</v>
      </c>
      <c r="D235" s="41" t="s">
        <v>1112</v>
      </c>
      <c r="E235" s="34" t="s">
        <v>466</v>
      </c>
      <c r="F235" s="41" t="s">
        <v>1325</v>
      </c>
    </row>
    <row r="236" spans="2:6" ht="30" customHeight="1" outlineLevel="4" x14ac:dyDescent="0.2">
      <c r="B236" s="33">
        <f t="shared" si="3"/>
        <v>233</v>
      </c>
      <c r="C236" s="34" t="s">
        <v>467</v>
      </c>
      <c r="D236" s="41" t="s">
        <v>1113</v>
      </c>
      <c r="E236" s="34" t="s">
        <v>468</v>
      </c>
      <c r="F236" s="41" t="s">
        <v>1325</v>
      </c>
    </row>
    <row r="237" spans="2:6" ht="30" customHeight="1" outlineLevel="4" x14ac:dyDescent="0.2">
      <c r="B237" s="33">
        <f t="shared" si="3"/>
        <v>234</v>
      </c>
      <c r="C237" s="34" t="s">
        <v>469</v>
      </c>
      <c r="D237" s="41" t="s">
        <v>1114</v>
      </c>
      <c r="E237" s="34" t="s">
        <v>470</v>
      </c>
      <c r="F237" s="41" t="s">
        <v>1325</v>
      </c>
    </row>
    <row r="238" spans="2:6" ht="30" customHeight="1" outlineLevel="3" x14ac:dyDescent="0.2">
      <c r="B238" s="13">
        <f t="shared" si="3"/>
        <v>235</v>
      </c>
      <c r="C238" s="14" t="s">
        <v>471</v>
      </c>
      <c r="D238" s="15" t="s">
        <v>1013</v>
      </c>
      <c r="E238" s="14" t="s">
        <v>472</v>
      </c>
      <c r="F238" s="15" t="s">
        <v>1325</v>
      </c>
    </row>
    <row r="239" spans="2:6" ht="30" customHeight="1" outlineLevel="4" x14ac:dyDescent="0.2">
      <c r="B239" s="33">
        <f t="shared" si="3"/>
        <v>236</v>
      </c>
      <c r="C239" s="34" t="s">
        <v>473</v>
      </c>
      <c r="D239" s="41" t="s">
        <v>1115</v>
      </c>
      <c r="E239" s="34" t="s">
        <v>474</v>
      </c>
      <c r="F239" s="41" t="s">
        <v>1325</v>
      </c>
    </row>
    <row r="240" spans="2:6" ht="30" customHeight="1" outlineLevel="4" x14ac:dyDescent="0.2">
      <c r="B240" s="33">
        <f t="shared" si="3"/>
        <v>237</v>
      </c>
      <c r="C240" s="34" t="s">
        <v>475</v>
      </c>
      <c r="D240" s="41" t="s">
        <v>1116</v>
      </c>
      <c r="E240" s="34" t="s">
        <v>476</v>
      </c>
      <c r="F240" s="41" t="s">
        <v>1325</v>
      </c>
    </row>
    <row r="241" spans="2:6" ht="30" customHeight="1" outlineLevel="4" x14ac:dyDescent="0.2">
      <c r="B241" s="33">
        <f t="shared" si="3"/>
        <v>238</v>
      </c>
      <c r="C241" s="34" t="s">
        <v>477</v>
      </c>
      <c r="D241" s="41" t="s">
        <v>1117</v>
      </c>
      <c r="E241" s="34" t="s">
        <v>478</v>
      </c>
      <c r="F241" s="41" t="s">
        <v>1325</v>
      </c>
    </row>
    <row r="242" spans="2:6" ht="30" customHeight="1" outlineLevel="4" x14ac:dyDescent="0.2">
      <c r="B242" s="33">
        <f t="shared" si="3"/>
        <v>239</v>
      </c>
      <c r="C242" s="34" t="s">
        <v>479</v>
      </c>
      <c r="D242" s="41" t="s">
        <v>1118</v>
      </c>
      <c r="E242" s="34" t="s">
        <v>480</v>
      </c>
      <c r="F242" s="41" t="s">
        <v>1325</v>
      </c>
    </row>
    <row r="243" spans="2:6" ht="30" customHeight="1" outlineLevel="4" x14ac:dyDescent="0.2">
      <c r="B243" s="33">
        <f t="shared" si="3"/>
        <v>240</v>
      </c>
      <c r="C243" s="34" t="s">
        <v>481</v>
      </c>
      <c r="D243" s="41" t="s">
        <v>1119</v>
      </c>
      <c r="E243" s="34" t="s">
        <v>482</v>
      </c>
      <c r="F243" s="41" t="s">
        <v>1325</v>
      </c>
    </row>
    <row r="244" spans="2:6" ht="30" customHeight="1" outlineLevel="4" x14ac:dyDescent="0.2">
      <c r="B244" s="33">
        <f t="shared" si="3"/>
        <v>241</v>
      </c>
      <c r="C244" s="34" t="s">
        <v>483</v>
      </c>
      <c r="D244" s="41" t="s">
        <v>1120</v>
      </c>
      <c r="E244" s="34" t="s">
        <v>484</v>
      </c>
      <c r="F244" s="41" t="s">
        <v>1325</v>
      </c>
    </row>
    <row r="245" spans="2:6" ht="30" customHeight="1" outlineLevel="4" x14ac:dyDescent="0.2">
      <c r="B245" s="33">
        <f t="shared" si="3"/>
        <v>242</v>
      </c>
      <c r="C245" s="34" t="s">
        <v>485</v>
      </c>
      <c r="D245" s="41" t="s">
        <v>1121</v>
      </c>
      <c r="E245" s="34" t="s">
        <v>486</v>
      </c>
      <c r="F245" s="41" t="s">
        <v>1325</v>
      </c>
    </row>
    <row r="246" spans="2:6" ht="30" customHeight="1" outlineLevel="4" x14ac:dyDescent="0.2">
      <c r="B246" s="33">
        <f t="shared" si="3"/>
        <v>243</v>
      </c>
      <c r="C246" s="34" t="s">
        <v>487</v>
      </c>
      <c r="D246" s="41" t="s">
        <v>1122</v>
      </c>
      <c r="E246" s="34" t="s">
        <v>488</v>
      </c>
      <c r="F246" s="41" t="s">
        <v>1325</v>
      </c>
    </row>
    <row r="247" spans="2:6" ht="30" customHeight="1" outlineLevel="4" x14ac:dyDescent="0.2">
      <c r="B247" s="33">
        <f t="shared" si="3"/>
        <v>244</v>
      </c>
      <c r="C247" s="34" t="s">
        <v>489</v>
      </c>
      <c r="D247" s="41" t="s">
        <v>1123</v>
      </c>
      <c r="E247" s="34" t="s">
        <v>490</v>
      </c>
      <c r="F247" s="41" t="s">
        <v>1325</v>
      </c>
    </row>
    <row r="248" spans="2:6" ht="30" customHeight="1" outlineLevel="4" x14ac:dyDescent="0.2">
      <c r="B248" s="33">
        <f t="shared" si="3"/>
        <v>245</v>
      </c>
      <c r="C248" s="34" t="s">
        <v>491</v>
      </c>
      <c r="D248" s="41" t="s">
        <v>1124</v>
      </c>
      <c r="E248" s="34" t="s">
        <v>492</v>
      </c>
      <c r="F248" s="41" t="s">
        <v>1325</v>
      </c>
    </row>
    <row r="249" spans="2:6" ht="30" customHeight="1" outlineLevel="4" x14ac:dyDescent="0.2">
      <c r="B249" s="33">
        <f t="shared" si="3"/>
        <v>246</v>
      </c>
      <c r="C249" s="34" t="s">
        <v>493</v>
      </c>
      <c r="D249" s="41" t="s">
        <v>1125</v>
      </c>
      <c r="E249" s="34" t="s">
        <v>494</v>
      </c>
      <c r="F249" s="41" t="s">
        <v>1325</v>
      </c>
    </row>
    <row r="250" spans="2:6" ht="30" customHeight="1" outlineLevel="4" x14ac:dyDescent="0.2">
      <c r="B250" s="33">
        <f t="shared" si="3"/>
        <v>247</v>
      </c>
      <c r="C250" s="34" t="s">
        <v>495</v>
      </c>
      <c r="D250" s="41" t="s">
        <v>1126</v>
      </c>
      <c r="E250" s="34" t="s">
        <v>496</v>
      </c>
      <c r="F250" s="41" t="s">
        <v>1325</v>
      </c>
    </row>
    <row r="251" spans="2:6" ht="30" customHeight="1" outlineLevel="4" x14ac:dyDescent="0.2">
      <c r="B251" s="33">
        <f t="shared" si="3"/>
        <v>248</v>
      </c>
      <c r="C251" s="34" t="s">
        <v>497</v>
      </c>
      <c r="D251" s="41" t="s">
        <v>1127</v>
      </c>
      <c r="E251" s="34" t="s">
        <v>498</v>
      </c>
      <c r="F251" s="41" t="s">
        <v>1325</v>
      </c>
    </row>
    <row r="252" spans="2:6" ht="30" customHeight="1" outlineLevel="4" x14ac:dyDescent="0.2">
      <c r="B252" s="33">
        <f t="shared" si="3"/>
        <v>249</v>
      </c>
      <c r="C252" s="34" t="s">
        <v>499</v>
      </c>
      <c r="D252" s="41" t="s">
        <v>1144</v>
      </c>
      <c r="E252" s="34" t="s">
        <v>500</v>
      </c>
      <c r="F252" s="41" t="s">
        <v>1325</v>
      </c>
    </row>
    <row r="253" spans="2:6" ht="30" customHeight="1" outlineLevel="4" x14ac:dyDescent="0.2">
      <c r="B253" s="33">
        <f t="shared" si="3"/>
        <v>250</v>
      </c>
      <c r="C253" s="34" t="s">
        <v>501</v>
      </c>
      <c r="D253" s="41" t="s">
        <v>1171</v>
      </c>
      <c r="E253" s="41" t="s">
        <v>502</v>
      </c>
      <c r="F253" s="41" t="s">
        <v>1325</v>
      </c>
    </row>
    <row r="254" spans="2:6" ht="30" customHeight="1" outlineLevel="4" x14ac:dyDescent="0.2">
      <c r="B254" s="33">
        <f t="shared" si="3"/>
        <v>251</v>
      </c>
      <c r="C254" s="34" t="s">
        <v>503</v>
      </c>
      <c r="D254" s="41" t="s">
        <v>1172</v>
      </c>
      <c r="E254" s="41" t="s">
        <v>504</v>
      </c>
      <c r="F254" s="41" t="s">
        <v>1325</v>
      </c>
    </row>
    <row r="255" spans="2:6" ht="30" customHeight="1" outlineLevel="4" x14ac:dyDescent="0.2">
      <c r="B255" s="33">
        <f t="shared" si="3"/>
        <v>252</v>
      </c>
      <c r="C255" s="34" t="s">
        <v>505</v>
      </c>
      <c r="D255" s="41" t="s">
        <v>1170</v>
      </c>
      <c r="E255" s="41" t="s">
        <v>506</v>
      </c>
      <c r="F255" s="41" t="s">
        <v>1325</v>
      </c>
    </row>
    <row r="256" spans="2:6" ht="30" customHeight="1" outlineLevel="3" x14ac:dyDescent="0.2">
      <c r="B256" s="13">
        <f>B255+1</f>
        <v>253</v>
      </c>
      <c r="C256" s="14" t="s">
        <v>507</v>
      </c>
      <c r="D256" s="15" t="s">
        <v>1014</v>
      </c>
      <c r="E256" s="14" t="s">
        <v>508</v>
      </c>
      <c r="F256" s="15" t="s">
        <v>1325</v>
      </c>
    </row>
    <row r="257" spans="2:6" ht="30" customHeight="1" outlineLevel="4" x14ac:dyDescent="0.2">
      <c r="B257" s="33">
        <f t="shared" si="3"/>
        <v>254</v>
      </c>
      <c r="C257" s="34" t="s">
        <v>509</v>
      </c>
      <c r="D257" s="41" t="s">
        <v>1128</v>
      </c>
      <c r="E257" s="34" t="s">
        <v>510</v>
      </c>
      <c r="F257" s="41" t="s">
        <v>1325</v>
      </c>
    </row>
    <row r="258" spans="2:6" ht="30" customHeight="1" outlineLevel="4" x14ac:dyDescent="0.2">
      <c r="B258" s="33">
        <f t="shared" si="3"/>
        <v>255</v>
      </c>
      <c r="C258" s="34" t="s">
        <v>511</v>
      </c>
      <c r="D258" s="41" t="s">
        <v>1129</v>
      </c>
      <c r="E258" s="34" t="s">
        <v>512</v>
      </c>
      <c r="F258" s="41" t="s">
        <v>1325</v>
      </c>
    </row>
    <row r="259" spans="2:6" ht="30" customHeight="1" outlineLevel="4" x14ac:dyDescent="0.2">
      <c r="B259" s="33">
        <f t="shared" si="3"/>
        <v>256</v>
      </c>
      <c r="C259" s="34" t="s">
        <v>513</v>
      </c>
      <c r="D259" s="41" t="s">
        <v>1130</v>
      </c>
      <c r="E259" s="34" t="s">
        <v>514</v>
      </c>
      <c r="F259" s="41" t="s">
        <v>1325</v>
      </c>
    </row>
    <row r="260" spans="2:6" ht="30" customHeight="1" outlineLevel="4" x14ac:dyDescent="0.2">
      <c r="B260" s="33">
        <f t="shared" si="3"/>
        <v>257</v>
      </c>
      <c r="C260" s="34" t="s">
        <v>515</v>
      </c>
      <c r="D260" s="41" t="s">
        <v>1143</v>
      </c>
      <c r="E260" s="34" t="s">
        <v>516</v>
      </c>
      <c r="F260" s="41" t="s">
        <v>1325</v>
      </c>
    </row>
    <row r="261" spans="2:6" ht="30" customHeight="1" outlineLevel="4" x14ac:dyDescent="0.2">
      <c r="B261" s="33">
        <f t="shared" si="3"/>
        <v>258</v>
      </c>
      <c r="C261" s="34" t="s">
        <v>517</v>
      </c>
      <c r="D261" s="41" t="s">
        <v>1145</v>
      </c>
      <c r="E261" s="34" t="s">
        <v>518</v>
      </c>
      <c r="F261" s="41" t="s">
        <v>1325</v>
      </c>
    </row>
    <row r="262" spans="2:6" ht="30" customHeight="1" outlineLevel="4" x14ac:dyDescent="0.2">
      <c r="B262" s="33">
        <f t="shared" ref="B262:B325" si="4">B261+1</f>
        <v>259</v>
      </c>
      <c r="C262" s="34" t="s">
        <v>519</v>
      </c>
      <c r="D262" s="41" t="s">
        <v>1146</v>
      </c>
      <c r="E262" s="34" t="s">
        <v>520</v>
      </c>
      <c r="F262" s="41" t="s">
        <v>1325</v>
      </c>
    </row>
    <row r="263" spans="2:6" ht="30" customHeight="1" outlineLevel="4" x14ac:dyDescent="0.2">
      <c r="B263" s="33">
        <f t="shared" si="4"/>
        <v>260</v>
      </c>
      <c r="C263" s="34" t="s">
        <v>521</v>
      </c>
      <c r="D263" s="41" t="s">
        <v>1173</v>
      </c>
      <c r="E263" s="34" t="s">
        <v>522</v>
      </c>
      <c r="F263" s="41" t="s">
        <v>1325</v>
      </c>
    </row>
    <row r="264" spans="2:6" ht="30" customHeight="1" outlineLevel="4" x14ac:dyDescent="0.2">
      <c r="B264" s="33">
        <f t="shared" si="4"/>
        <v>261</v>
      </c>
      <c r="C264" s="34" t="s">
        <v>523</v>
      </c>
      <c r="D264" s="41" t="s">
        <v>1174</v>
      </c>
      <c r="E264" s="34" t="s">
        <v>524</v>
      </c>
      <c r="F264" s="41" t="s">
        <v>1325</v>
      </c>
    </row>
    <row r="265" spans="2:6" ht="30" customHeight="1" outlineLevel="4" x14ac:dyDescent="0.2">
      <c r="B265" s="33">
        <f t="shared" si="4"/>
        <v>262</v>
      </c>
      <c r="C265" s="34" t="s">
        <v>525</v>
      </c>
      <c r="D265" s="41" t="s">
        <v>1175</v>
      </c>
      <c r="E265" s="34" t="s">
        <v>526</v>
      </c>
      <c r="F265" s="41" t="s">
        <v>1325</v>
      </c>
    </row>
    <row r="266" spans="2:6" ht="30" customHeight="1" outlineLevel="4" x14ac:dyDescent="0.2">
      <c r="B266" s="33">
        <f t="shared" si="4"/>
        <v>263</v>
      </c>
      <c r="C266" s="34" t="s">
        <v>527</v>
      </c>
      <c r="D266" s="41" t="s">
        <v>1176</v>
      </c>
      <c r="E266" s="34" t="s">
        <v>528</v>
      </c>
      <c r="F266" s="41" t="s">
        <v>1325</v>
      </c>
    </row>
    <row r="267" spans="2:6" ht="30" customHeight="1" outlineLevel="4" x14ac:dyDescent="0.2">
      <c r="B267" s="33">
        <f t="shared" si="4"/>
        <v>264</v>
      </c>
      <c r="C267" s="34" t="s">
        <v>529</v>
      </c>
      <c r="D267" s="41" t="s">
        <v>1177</v>
      </c>
      <c r="E267" s="34" t="s">
        <v>530</v>
      </c>
      <c r="F267" s="41" t="s">
        <v>1325</v>
      </c>
    </row>
    <row r="268" spans="2:6" ht="30" customHeight="1" outlineLevel="4" x14ac:dyDescent="0.2">
      <c r="B268" s="33">
        <f t="shared" si="4"/>
        <v>265</v>
      </c>
      <c r="C268" s="34" t="s">
        <v>531</v>
      </c>
      <c r="D268" s="41" t="s">
        <v>1178</v>
      </c>
      <c r="E268" s="34" t="s">
        <v>532</v>
      </c>
      <c r="F268" s="41" t="s">
        <v>1325</v>
      </c>
    </row>
    <row r="269" spans="2:6" ht="30" customHeight="1" outlineLevel="3" x14ac:dyDescent="0.2">
      <c r="B269" s="13">
        <f t="shared" si="4"/>
        <v>266</v>
      </c>
      <c r="C269" s="14" t="s">
        <v>533</v>
      </c>
      <c r="D269" s="15" t="s">
        <v>1055</v>
      </c>
      <c r="E269" s="14" t="s">
        <v>534</v>
      </c>
      <c r="F269" s="15" t="s">
        <v>1325</v>
      </c>
    </row>
    <row r="270" spans="2:6" ht="30" customHeight="1" outlineLevel="3" x14ac:dyDescent="0.2">
      <c r="B270" s="13">
        <f t="shared" si="4"/>
        <v>267</v>
      </c>
      <c r="C270" s="14" t="s">
        <v>535</v>
      </c>
      <c r="D270" s="15" t="s">
        <v>1056</v>
      </c>
      <c r="E270" s="14" t="s">
        <v>536</v>
      </c>
      <c r="F270" s="15" t="s">
        <v>1325</v>
      </c>
    </row>
    <row r="271" spans="2:6" ht="30" customHeight="1" outlineLevel="4" x14ac:dyDescent="0.2">
      <c r="B271" s="33">
        <f t="shared" si="4"/>
        <v>268</v>
      </c>
      <c r="C271" s="34" t="s">
        <v>537</v>
      </c>
      <c r="D271" s="41" t="s">
        <v>1140</v>
      </c>
      <c r="E271" s="34" t="s">
        <v>538</v>
      </c>
      <c r="F271" s="41" t="s">
        <v>1325</v>
      </c>
    </row>
    <row r="272" spans="2:6" ht="30" customHeight="1" outlineLevel="4" x14ac:dyDescent="0.2">
      <c r="B272" s="33">
        <f t="shared" si="4"/>
        <v>269</v>
      </c>
      <c r="C272" s="34" t="s">
        <v>539</v>
      </c>
      <c r="D272" s="41" t="s">
        <v>1141</v>
      </c>
      <c r="E272" s="34" t="s">
        <v>540</v>
      </c>
      <c r="F272" s="41" t="s">
        <v>1325</v>
      </c>
    </row>
    <row r="273" spans="2:6" ht="30" customHeight="1" outlineLevel="2" x14ac:dyDescent="0.2">
      <c r="B273" s="11">
        <f t="shared" si="4"/>
        <v>270</v>
      </c>
      <c r="C273" s="12" t="s">
        <v>541</v>
      </c>
      <c r="D273" s="97" t="s">
        <v>1031</v>
      </c>
      <c r="E273" s="12" t="s">
        <v>542</v>
      </c>
      <c r="F273" s="97" t="s">
        <v>1325</v>
      </c>
    </row>
    <row r="274" spans="2:6" ht="30" hidden="1" customHeight="1" outlineLevel="3" x14ac:dyDescent="0.2">
      <c r="B274" s="13">
        <f t="shared" si="4"/>
        <v>271</v>
      </c>
      <c r="C274" s="14" t="s">
        <v>543</v>
      </c>
      <c r="D274" s="15" t="s">
        <v>1032</v>
      </c>
      <c r="E274" s="14" t="s">
        <v>544</v>
      </c>
      <c r="F274" s="15" t="s">
        <v>1325</v>
      </c>
    </row>
    <row r="275" spans="2:6" ht="30" hidden="1" customHeight="1" outlineLevel="3" x14ac:dyDescent="0.2">
      <c r="B275" s="13">
        <f t="shared" si="4"/>
        <v>272</v>
      </c>
      <c r="C275" s="14" t="s">
        <v>545</v>
      </c>
      <c r="D275" s="15" t="s">
        <v>1033</v>
      </c>
      <c r="E275" s="15" t="s">
        <v>546</v>
      </c>
      <c r="F275" s="15" t="s">
        <v>1325</v>
      </c>
    </row>
    <row r="276" spans="2:6" ht="30" hidden="1" customHeight="1" outlineLevel="3" x14ac:dyDescent="0.2">
      <c r="B276" s="13">
        <f t="shared" si="4"/>
        <v>273</v>
      </c>
      <c r="C276" s="14" t="s">
        <v>547</v>
      </c>
      <c r="D276" s="15" t="s">
        <v>1034</v>
      </c>
      <c r="E276" s="14" t="s">
        <v>548</v>
      </c>
      <c r="F276" s="15" t="s">
        <v>1325</v>
      </c>
    </row>
    <row r="277" spans="2:6" ht="30" customHeight="1" outlineLevel="1" x14ac:dyDescent="0.2">
      <c r="B277" s="9">
        <f t="shared" si="4"/>
        <v>274</v>
      </c>
      <c r="C277" s="10" t="s">
        <v>549</v>
      </c>
      <c r="D277" s="67" t="s">
        <v>1023</v>
      </c>
      <c r="E277" s="10" t="s">
        <v>550</v>
      </c>
      <c r="F277" s="67" t="s">
        <v>1326</v>
      </c>
    </row>
    <row r="278" spans="2:6" ht="30" customHeight="1" outlineLevel="2" x14ac:dyDescent="0.2">
      <c r="B278" s="11">
        <f t="shared" si="4"/>
        <v>275</v>
      </c>
      <c r="C278" s="12" t="s">
        <v>551</v>
      </c>
      <c r="D278" s="97" t="s">
        <v>1024</v>
      </c>
      <c r="E278" s="23" t="s">
        <v>552</v>
      </c>
      <c r="F278" s="103" t="s">
        <v>1326</v>
      </c>
    </row>
    <row r="279" spans="2:6" ht="30" hidden="1" customHeight="1" outlineLevel="3" x14ac:dyDescent="0.2">
      <c r="B279" s="13">
        <f t="shared" si="4"/>
        <v>276</v>
      </c>
      <c r="C279" s="14" t="s">
        <v>553</v>
      </c>
      <c r="D279" s="15" t="s">
        <v>1025</v>
      </c>
      <c r="E279" s="14" t="s">
        <v>554</v>
      </c>
      <c r="F279" s="15" t="s">
        <v>1326</v>
      </c>
    </row>
    <row r="280" spans="2:6" ht="30" hidden="1" customHeight="1" outlineLevel="3" x14ac:dyDescent="0.2">
      <c r="B280" s="13">
        <f t="shared" si="4"/>
        <v>277</v>
      </c>
      <c r="C280" s="14" t="s">
        <v>555</v>
      </c>
      <c r="D280" s="15" t="s">
        <v>1026</v>
      </c>
      <c r="E280" s="15" t="s">
        <v>556</v>
      </c>
      <c r="F280" s="15" t="s">
        <v>1326</v>
      </c>
    </row>
    <row r="281" spans="2:6" ht="30" hidden="1" customHeight="1" outlineLevel="3" x14ac:dyDescent="0.2">
      <c r="B281" s="13">
        <f t="shared" si="4"/>
        <v>278</v>
      </c>
      <c r="C281" s="14" t="s">
        <v>557</v>
      </c>
      <c r="D281" s="15" t="s">
        <v>1027</v>
      </c>
      <c r="E281" s="14" t="s">
        <v>558</v>
      </c>
      <c r="F281" s="15" t="s">
        <v>1326</v>
      </c>
    </row>
    <row r="282" spans="2:6" ht="30" hidden="1" customHeight="1" outlineLevel="3" x14ac:dyDescent="0.2">
      <c r="B282" s="13">
        <f t="shared" si="4"/>
        <v>279</v>
      </c>
      <c r="C282" s="14" t="s">
        <v>559</v>
      </c>
      <c r="D282" s="15" t="s">
        <v>1028</v>
      </c>
      <c r="E282" s="14" t="s">
        <v>560</v>
      </c>
      <c r="F282" s="15" t="s">
        <v>1326</v>
      </c>
    </row>
    <row r="283" spans="2:6" ht="30" hidden="1" customHeight="1" outlineLevel="3" x14ac:dyDescent="0.2">
      <c r="B283" s="13">
        <f t="shared" si="4"/>
        <v>280</v>
      </c>
      <c r="C283" s="14" t="s">
        <v>561</v>
      </c>
      <c r="D283" s="15" t="s">
        <v>1029</v>
      </c>
      <c r="E283" s="15" t="s">
        <v>562</v>
      </c>
      <c r="F283" s="15" t="s">
        <v>1326</v>
      </c>
    </row>
    <row r="284" spans="2:6" ht="30" hidden="1" customHeight="1" outlineLevel="3" x14ac:dyDescent="0.2">
      <c r="B284" s="13">
        <f t="shared" si="4"/>
        <v>281</v>
      </c>
      <c r="C284" s="14" t="s">
        <v>563</v>
      </c>
      <c r="D284" s="15" t="s">
        <v>1030</v>
      </c>
      <c r="E284" s="15" t="s">
        <v>564</v>
      </c>
      <c r="F284" s="15" t="s">
        <v>1326</v>
      </c>
    </row>
    <row r="285" spans="2:6" ht="30" customHeight="1" outlineLevel="2" collapsed="1" x14ac:dyDescent="0.2">
      <c r="B285" s="11">
        <f t="shared" si="4"/>
        <v>282</v>
      </c>
      <c r="C285" s="12" t="s">
        <v>565</v>
      </c>
      <c r="D285" s="97" t="s">
        <v>1207</v>
      </c>
      <c r="E285" s="23" t="s">
        <v>566</v>
      </c>
      <c r="F285" s="103" t="s">
        <v>1326</v>
      </c>
    </row>
    <row r="286" spans="2:6" ht="30" customHeight="1" outlineLevel="2" x14ac:dyDescent="0.2">
      <c r="B286" s="11">
        <f t="shared" si="4"/>
        <v>283</v>
      </c>
      <c r="C286" s="12" t="s">
        <v>567</v>
      </c>
      <c r="D286" s="97" t="s">
        <v>1307</v>
      </c>
      <c r="E286" s="12" t="s">
        <v>568</v>
      </c>
      <c r="F286" s="97" t="s">
        <v>1326</v>
      </c>
    </row>
    <row r="287" spans="2:6" ht="30" customHeight="1" outlineLevel="2" x14ac:dyDescent="0.2">
      <c r="B287" s="11">
        <f t="shared" si="4"/>
        <v>284</v>
      </c>
      <c r="C287" s="12" t="s">
        <v>569</v>
      </c>
      <c r="D287" s="97" t="s">
        <v>1308</v>
      </c>
      <c r="E287" s="12" t="s">
        <v>570</v>
      </c>
      <c r="F287" s="97" t="s">
        <v>1326</v>
      </c>
    </row>
    <row r="288" spans="2:6" ht="30" customHeight="1" outlineLevel="1" x14ac:dyDescent="0.2">
      <c r="B288" s="9">
        <f t="shared" si="4"/>
        <v>285</v>
      </c>
      <c r="C288" s="10" t="s">
        <v>571</v>
      </c>
      <c r="D288" s="67" t="s">
        <v>949</v>
      </c>
      <c r="E288" s="10" t="s">
        <v>572</v>
      </c>
      <c r="F288" s="67" t="s">
        <v>1324</v>
      </c>
    </row>
    <row r="289" spans="2:6" ht="30" customHeight="1" outlineLevel="2" x14ac:dyDescent="0.2">
      <c r="B289" s="11">
        <f t="shared" si="4"/>
        <v>286</v>
      </c>
      <c r="C289" s="12" t="s">
        <v>573</v>
      </c>
      <c r="D289" s="97" t="s">
        <v>952</v>
      </c>
      <c r="E289" s="23" t="s">
        <v>574</v>
      </c>
      <c r="F289" s="103" t="s">
        <v>1324</v>
      </c>
    </row>
    <row r="290" spans="2:6" ht="30" hidden="1" customHeight="1" outlineLevel="3" x14ac:dyDescent="0.2">
      <c r="B290" s="13">
        <f t="shared" si="4"/>
        <v>287</v>
      </c>
      <c r="C290" s="14" t="s">
        <v>575</v>
      </c>
      <c r="D290" s="15" t="s">
        <v>953</v>
      </c>
      <c r="E290" s="14" t="s">
        <v>576</v>
      </c>
      <c r="F290" s="15" t="s">
        <v>1324</v>
      </c>
    </row>
    <row r="291" spans="2:6" ht="30" hidden="1" customHeight="1" outlineLevel="3" x14ac:dyDescent="0.2">
      <c r="B291" s="13">
        <f t="shared" si="4"/>
        <v>288</v>
      </c>
      <c r="C291" s="14" t="s">
        <v>577</v>
      </c>
      <c r="D291" s="15" t="s">
        <v>957</v>
      </c>
      <c r="E291" s="15" t="s">
        <v>578</v>
      </c>
      <c r="F291" s="15" t="s">
        <v>1324</v>
      </c>
    </row>
    <row r="292" spans="2:6" ht="30" hidden="1" customHeight="1" outlineLevel="3" x14ac:dyDescent="0.2">
      <c r="B292" s="13">
        <f t="shared" si="4"/>
        <v>289</v>
      </c>
      <c r="C292" s="14" t="s">
        <v>579</v>
      </c>
      <c r="D292" s="15" t="s">
        <v>958</v>
      </c>
      <c r="E292" s="14" t="s">
        <v>580</v>
      </c>
      <c r="F292" s="15" t="s">
        <v>1324</v>
      </c>
    </row>
    <row r="293" spans="2:6" ht="30" hidden="1" customHeight="1" outlineLevel="3" x14ac:dyDescent="0.2">
      <c r="B293" s="13">
        <f t="shared" si="4"/>
        <v>290</v>
      </c>
      <c r="C293" s="14" t="s">
        <v>581</v>
      </c>
      <c r="D293" s="15" t="s">
        <v>959</v>
      </c>
      <c r="E293" s="15" t="s">
        <v>582</v>
      </c>
      <c r="F293" s="15" t="s">
        <v>1324</v>
      </c>
    </row>
    <row r="294" spans="2:6" ht="30" hidden="1" customHeight="1" outlineLevel="3" x14ac:dyDescent="0.2">
      <c r="B294" s="13">
        <f t="shared" si="4"/>
        <v>291</v>
      </c>
      <c r="C294" s="14" t="s">
        <v>583</v>
      </c>
      <c r="D294" s="15" t="s">
        <v>963</v>
      </c>
      <c r="E294" s="15" t="s">
        <v>584</v>
      </c>
      <c r="F294" s="15" t="s">
        <v>1324</v>
      </c>
    </row>
    <row r="295" spans="2:6" ht="30" customHeight="1" outlineLevel="2" collapsed="1" x14ac:dyDescent="0.2">
      <c r="B295" s="11">
        <f t="shared" si="4"/>
        <v>292</v>
      </c>
      <c r="C295" s="12" t="s">
        <v>585</v>
      </c>
      <c r="D295" s="97" t="s">
        <v>960</v>
      </c>
      <c r="E295" s="23" t="s">
        <v>586</v>
      </c>
      <c r="F295" s="103" t="s">
        <v>1324</v>
      </c>
    </row>
    <row r="296" spans="2:6" ht="30" hidden="1" customHeight="1" outlineLevel="3" x14ac:dyDescent="0.2">
      <c r="B296" s="13">
        <f t="shared" si="4"/>
        <v>293</v>
      </c>
      <c r="C296" s="14" t="s">
        <v>587</v>
      </c>
      <c r="D296" s="15" t="s">
        <v>961</v>
      </c>
      <c r="E296" s="14" t="s">
        <v>588</v>
      </c>
      <c r="F296" s="15" t="s">
        <v>1324</v>
      </c>
    </row>
    <row r="297" spans="2:6" ht="30" hidden="1" customHeight="1" outlineLevel="3" x14ac:dyDescent="0.2">
      <c r="B297" s="13">
        <f t="shared" si="4"/>
        <v>294</v>
      </c>
      <c r="C297" s="14" t="s">
        <v>589</v>
      </c>
      <c r="D297" s="15" t="s">
        <v>964</v>
      </c>
      <c r="E297" s="14" t="s">
        <v>590</v>
      </c>
      <c r="F297" s="15" t="s">
        <v>1324</v>
      </c>
    </row>
    <row r="298" spans="2:6" ht="30" customHeight="1" outlineLevel="2" collapsed="1" x14ac:dyDescent="0.2">
      <c r="B298" s="11">
        <f t="shared" si="4"/>
        <v>295</v>
      </c>
      <c r="C298" s="12" t="s">
        <v>591</v>
      </c>
      <c r="D298" s="97" t="s">
        <v>965</v>
      </c>
      <c r="E298" s="12" t="s">
        <v>592</v>
      </c>
      <c r="F298" s="97" t="s">
        <v>1329</v>
      </c>
    </row>
    <row r="299" spans="2:6" ht="30" customHeight="1" outlineLevel="3" x14ac:dyDescent="0.2">
      <c r="B299" s="13">
        <f t="shared" si="4"/>
        <v>296</v>
      </c>
      <c r="C299" s="14" t="s">
        <v>593</v>
      </c>
      <c r="D299" s="15" t="s">
        <v>966</v>
      </c>
      <c r="E299" s="14" t="s">
        <v>594</v>
      </c>
      <c r="F299" s="15" t="s">
        <v>1329</v>
      </c>
    </row>
    <row r="300" spans="2:6" ht="30" customHeight="1" outlineLevel="3" x14ac:dyDescent="0.2">
      <c r="B300" s="13">
        <f t="shared" si="4"/>
        <v>297</v>
      </c>
      <c r="C300" s="14" t="s">
        <v>595</v>
      </c>
      <c r="D300" s="15" t="s">
        <v>967</v>
      </c>
      <c r="E300" s="14" t="s">
        <v>596</v>
      </c>
      <c r="F300" s="15" t="s">
        <v>1329</v>
      </c>
    </row>
    <row r="301" spans="2:6" ht="30" customHeight="1" outlineLevel="3" x14ac:dyDescent="0.2">
      <c r="B301" s="13">
        <f t="shared" si="4"/>
        <v>298</v>
      </c>
      <c r="C301" s="14" t="s">
        <v>597</v>
      </c>
      <c r="D301" s="15" t="s">
        <v>968</v>
      </c>
      <c r="E301" s="14" t="s">
        <v>598</v>
      </c>
      <c r="F301" s="15" t="s">
        <v>1329</v>
      </c>
    </row>
    <row r="302" spans="2:6" ht="30" customHeight="1" outlineLevel="3" x14ac:dyDescent="0.2">
      <c r="B302" s="13">
        <f t="shared" si="4"/>
        <v>299</v>
      </c>
      <c r="C302" s="14" t="s">
        <v>599</v>
      </c>
      <c r="D302" s="15" t="s">
        <v>969</v>
      </c>
      <c r="E302" s="14" t="s">
        <v>600</v>
      </c>
      <c r="F302" s="15" t="s">
        <v>1329</v>
      </c>
    </row>
    <row r="303" spans="2:6" ht="30" customHeight="1" outlineLevel="3" x14ac:dyDescent="0.2">
      <c r="B303" s="13">
        <f t="shared" si="4"/>
        <v>300</v>
      </c>
      <c r="C303" s="14" t="s">
        <v>601</v>
      </c>
      <c r="D303" s="15" t="s">
        <v>970</v>
      </c>
      <c r="E303" s="14" t="s">
        <v>602</v>
      </c>
      <c r="F303" s="15" t="s">
        <v>1329</v>
      </c>
    </row>
    <row r="304" spans="2:6" ht="30" customHeight="1" outlineLevel="3" x14ac:dyDescent="0.2">
      <c r="B304" s="13">
        <f t="shared" si="4"/>
        <v>301</v>
      </c>
      <c r="C304" s="14" t="s">
        <v>603</v>
      </c>
      <c r="D304" s="15" t="s">
        <v>971</v>
      </c>
      <c r="E304" s="15" t="s">
        <v>604</v>
      </c>
      <c r="F304" s="15" t="s">
        <v>1329</v>
      </c>
    </row>
    <row r="305" spans="2:6" ht="30" customHeight="1" outlineLevel="3" x14ac:dyDescent="0.2">
      <c r="B305" s="13">
        <f t="shared" si="4"/>
        <v>302</v>
      </c>
      <c r="C305" s="14" t="s">
        <v>605</v>
      </c>
      <c r="D305" s="15" t="s">
        <v>972</v>
      </c>
      <c r="E305" s="14" t="s">
        <v>606</v>
      </c>
      <c r="F305" s="15" t="s">
        <v>1329</v>
      </c>
    </row>
    <row r="306" spans="2:6" ht="30" customHeight="1" outlineLevel="3" x14ac:dyDescent="0.2">
      <c r="B306" s="13">
        <f t="shared" si="4"/>
        <v>303</v>
      </c>
      <c r="C306" s="14" t="s">
        <v>607</v>
      </c>
      <c r="D306" s="15" t="s">
        <v>973</v>
      </c>
      <c r="E306" s="14" t="s">
        <v>608</v>
      </c>
      <c r="F306" s="15" t="s">
        <v>1329</v>
      </c>
    </row>
    <row r="307" spans="2:6" ht="30" customHeight="1" outlineLevel="3" x14ac:dyDescent="0.2">
      <c r="B307" s="13">
        <f t="shared" si="4"/>
        <v>304</v>
      </c>
      <c r="C307" s="14" t="s">
        <v>609</v>
      </c>
      <c r="D307" s="15" t="s">
        <v>975</v>
      </c>
      <c r="E307" s="14" t="s">
        <v>610</v>
      </c>
      <c r="F307" s="15" t="s">
        <v>1329</v>
      </c>
    </row>
    <row r="308" spans="2:6" ht="30" customHeight="1" outlineLevel="3" x14ac:dyDescent="0.2">
      <c r="B308" s="13">
        <f t="shared" si="4"/>
        <v>305</v>
      </c>
      <c r="C308" s="14" t="s">
        <v>611</v>
      </c>
      <c r="D308" s="15" t="s">
        <v>1184</v>
      </c>
      <c r="E308" s="42" t="s">
        <v>612</v>
      </c>
      <c r="F308" s="42" t="s">
        <v>1329</v>
      </c>
    </row>
    <row r="309" spans="2:6" ht="30" customHeight="1" outlineLevel="3" x14ac:dyDescent="0.2">
      <c r="B309" s="13">
        <f t="shared" si="4"/>
        <v>306</v>
      </c>
      <c r="C309" s="14" t="s">
        <v>613</v>
      </c>
      <c r="D309" s="15" t="s">
        <v>1182</v>
      </c>
      <c r="E309" s="42" t="s">
        <v>614</v>
      </c>
      <c r="F309" s="42" t="s">
        <v>1329</v>
      </c>
    </row>
    <row r="310" spans="2:6" ht="30" customHeight="1" outlineLevel="2" x14ac:dyDescent="0.2">
      <c r="B310" s="11">
        <f t="shared" si="4"/>
        <v>307</v>
      </c>
      <c r="C310" s="12" t="s">
        <v>615</v>
      </c>
      <c r="D310" s="97" t="s">
        <v>950</v>
      </c>
      <c r="E310" s="12" t="s">
        <v>616</v>
      </c>
      <c r="F310" s="97" t="s">
        <v>1324</v>
      </c>
    </row>
    <row r="311" spans="2:6" ht="30" hidden="1" customHeight="1" outlineLevel="3" x14ac:dyDescent="0.2">
      <c r="B311" s="13">
        <f t="shared" si="4"/>
        <v>308</v>
      </c>
      <c r="C311" s="14" t="s">
        <v>617</v>
      </c>
      <c r="D311" s="15" t="s">
        <v>962</v>
      </c>
      <c r="E311" s="14" t="s">
        <v>618</v>
      </c>
      <c r="F311" s="15" t="s">
        <v>1324</v>
      </c>
    </row>
    <row r="312" spans="2:6" ht="30" hidden="1" customHeight="1" outlineLevel="3" x14ac:dyDescent="0.2">
      <c r="B312" s="13">
        <f t="shared" si="4"/>
        <v>309</v>
      </c>
      <c r="C312" s="14" t="s">
        <v>619</v>
      </c>
      <c r="D312" s="15" t="s">
        <v>956</v>
      </c>
      <c r="E312" s="15" t="s">
        <v>620</v>
      </c>
      <c r="F312" s="15" t="s">
        <v>1324</v>
      </c>
    </row>
    <row r="313" spans="2:6" ht="30" hidden="1" customHeight="1" outlineLevel="3" x14ac:dyDescent="0.2">
      <c r="B313" s="13">
        <f t="shared" si="4"/>
        <v>310</v>
      </c>
      <c r="C313" s="14" t="s">
        <v>621</v>
      </c>
      <c r="D313" s="15" t="s">
        <v>974</v>
      </c>
      <c r="E313" s="14" t="s">
        <v>622</v>
      </c>
      <c r="F313" s="15" t="s">
        <v>1324</v>
      </c>
    </row>
    <row r="314" spans="2:6" ht="30" hidden="1" customHeight="1" outlineLevel="3" x14ac:dyDescent="0.2">
      <c r="B314" s="13">
        <f t="shared" si="4"/>
        <v>311</v>
      </c>
      <c r="C314" s="14" t="s">
        <v>623</v>
      </c>
      <c r="D314" s="15" t="s">
        <v>951</v>
      </c>
      <c r="E314" s="15" t="s">
        <v>624</v>
      </c>
      <c r="F314" s="15" t="s">
        <v>1324</v>
      </c>
    </row>
    <row r="315" spans="2:6" ht="30" hidden="1" customHeight="1" outlineLevel="3" x14ac:dyDescent="0.2">
      <c r="B315" s="13">
        <f t="shared" si="4"/>
        <v>312</v>
      </c>
      <c r="C315" s="14" t="s">
        <v>625</v>
      </c>
      <c r="D315" s="15" t="s">
        <v>955</v>
      </c>
      <c r="E315" s="14" t="s">
        <v>626</v>
      </c>
      <c r="F315" s="15" t="s">
        <v>1324</v>
      </c>
    </row>
    <row r="316" spans="2:6" ht="30" hidden="1" customHeight="1" outlineLevel="3" x14ac:dyDescent="0.2">
      <c r="B316" s="13">
        <f t="shared" si="4"/>
        <v>313</v>
      </c>
      <c r="C316" s="14" t="s">
        <v>627</v>
      </c>
      <c r="D316" s="15" t="s">
        <v>976</v>
      </c>
      <c r="E316" s="39" t="s">
        <v>628</v>
      </c>
      <c r="F316" s="42" t="s">
        <v>1324</v>
      </c>
    </row>
    <row r="317" spans="2:6" ht="30" hidden="1" customHeight="1" outlineLevel="3" x14ac:dyDescent="0.2">
      <c r="B317" s="13">
        <f t="shared" si="4"/>
        <v>314</v>
      </c>
      <c r="C317" s="14" t="s">
        <v>629</v>
      </c>
      <c r="D317" s="15" t="s">
        <v>1084</v>
      </c>
      <c r="E317" s="40" t="s">
        <v>630</v>
      </c>
      <c r="F317" s="106" t="s">
        <v>1324</v>
      </c>
    </row>
    <row r="318" spans="2:6" ht="30" hidden="1" customHeight="1" outlineLevel="3" x14ac:dyDescent="0.2">
      <c r="B318" s="13">
        <f t="shared" si="4"/>
        <v>315</v>
      </c>
      <c r="C318" s="14" t="s">
        <v>631</v>
      </c>
      <c r="D318" s="15" t="s">
        <v>1086</v>
      </c>
      <c r="E318" s="40" t="s">
        <v>632</v>
      </c>
      <c r="F318" s="106" t="s">
        <v>1324</v>
      </c>
    </row>
    <row r="319" spans="2:6" ht="30" hidden="1" customHeight="1" outlineLevel="3" x14ac:dyDescent="0.2">
      <c r="B319" s="13">
        <f t="shared" si="4"/>
        <v>316</v>
      </c>
      <c r="C319" s="14" t="s">
        <v>633</v>
      </c>
      <c r="D319" s="15" t="s">
        <v>1085</v>
      </c>
      <c r="E319" s="40" t="s">
        <v>634</v>
      </c>
      <c r="F319" s="106" t="s">
        <v>1324</v>
      </c>
    </row>
    <row r="320" spans="2:6" ht="30" hidden="1" customHeight="1" outlineLevel="3" x14ac:dyDescent="0.2">
      <c r="B320" s="13">
        <f t="shared" si="4"/>
        <v>317</v>
      </c>
      <c r="C320" s="14" t="s">
        <v>635</v>
      </c>
      <c r="D320" s="15" t="s">
        <v>1142</v>
      </c>
      <c r="E320" s="40" t="s">
        <v>636</v>
      </c>
      <c r="F320" s="106" t="s">
        <v>1324</v>
      </c>
    </row>
    <row r="321" spans="2:6" ht="30" hidden="1" customHeight="1" outlineLevel="3" x14ac:dyDescent="0.2">
      <c r="B321" s="13">
        <f t="shared" si="4"/>
        <v>318</v>
      </c>
      <c r="C321" s="14" t="s">
        <v>637</v>
      </c>
      <c r="D321" s="15" t="s">
        <v>1183</v>
      </c>
      <c r="E321" s="39" t="s">
        <v>638</v>
      </c>
      <c r="F321" s="42" t="s">
        <v>1324</v>
      </c>
    </row>
    <row r="322" spans="2:6" ht="30" hidden="1" customHeight="1" outlineLevel="3" x14ac:dyDescent="0.2">
      <c r="B322" s="13">
        <f t="shared" si="4"/>
        <v>319</v>
      </c>
      <c r="C322" s="14" t="s">
        <v>639</v>
      </c>
      <c r="D322" s="15" t="s">
        <v>1187</v>
      </c>
      <c r="E322" s="39" t="s">
        <v>640</v>
      </c>
      <c r="F322" s="42" t="s">
        <v>1324</v>
      </c>
    </row>
    <row r="323" spans="2:6" ht="30" customHeight="1" x14ac:dyDescent="0.2">
      <c r="B323" s="7">
        <f>B322+1</f>
        <v>320</v>
      </c>
      <c r="C323" s="8" t="s">
        <v>641</v>
      </c>
      <c r="D323" s="96" t="s">
        <v>930</v>
      </c>
      <c r="E323" s="22" t="s">
        <v>642</v>
      </c>
      <c r="F323" s="102" t="s">
        <v>930</v>
      </c>
    </row>
    <row r="324" spans="2:6" ht="30" customHeight="1" outlineLevel="1" collapsed="1" x14ac:dyDescent="0.2">
      <c r="B324" s="9">
        <f t="shared" si="4"/>
        <v>321</v>
      </c>
      <c r="C324" s="10" t="s">
        <v>643</v>
      </c>
      <c r="D324" s="67" t="s">
        <v>1066</v>
      </c>
      <c r="E324" s="10" t="s">
        <v>644</v>
      </c>
      <c r="F324" s="67" t="s">
        <v>930</v>
      </c>
    </row>
    <row r="325" spans="2:6" ht="30" customHeight="1" outlineLevel="2" x14ac:dyDescent="0.2">
      <c r="B325" s="11">
        <f t="shared" si="4"/>
        <v>322</v>
      </c>
      <c r="C325" s="12" t="s">
        <v>645</v>
      </c>
      <c r="D325" s="97" t="s">
        <v>1309</v>
      </c>
      <c r="E325" s="23" t="s">
        <v>646</v>
      </c>
      <c r="F325" s="103" t="s">
        <v>930</v>
      </c>
    </row>
    <row r="326" spans="2:6" ht="30" customHeight="1" outlineLevel="2" x14ac:dyDescent="0.2">
      <c r="B326" s="11">
        <f t="shared" ref="B326:B389" si="5">B325+1</f>
        <v>323</v>
      </c>
      <c r="C326" s="12" t="s">
        <v>647</v>
      </c>
      <c r="D326" s="97" t="s">
        <v>1203</v>
      </c>
      <c r="E326" s="12" t="s">
        <v>648</v>
      </c>
      <c r="F326" s="97" t="s">
        <v>930</v>
      </c>
    </row>
    <row r="327" spans="2:6" ht="30" customHeight="1" outlineLevel="2" x14ac:dyDescent="0.2">
      <c r="B327" s="11">
        <f t="shared" si="5"/>
        <v>324</v>
      </c>
      <c r="C327" s="12" t="s">
        <v>649</v>
      </c>
      <c r="D327" s="97" t="s">
        <v>1310</v>
      </c>
      <c r="E327" s="12" t="s">
        <v>650</v>
      </c>
      <c r="F327" s="97" t="s">
        <v>930</v>
      </c>
    </row>
    <row r="328" spans="2:6" ht="30" customHeight="1" outlineLevel="2" x14ac:dyDescent="0.2">
      <c r="B328" s="11">
        <f t="shared" si="5"/>
        <v>325</v>
      </c>
      <c r="C328" s="12" t="s">
        <v>651</v>
      </c>
      <c r="D328" s="97" t="s">
        <v>1067</v>
      </c>
      <c r="E328" s="12" t="s">
        <v>652</v>
      </c>
      <c r="F328" s="97" t="s">
        <v>930</v>
      </c>
    </row>
    <row r="329" spans="2:6" ht="30" hidden="1" customHeight="1" outlineLevel="3" x14ac:dyDescent="0.2">
      <c r="B329" s="13">
        <f t="shared" si="5"/>
        <v>326</v>
      </c>
      <c r="C329" s="14" t="s">
        <v>653</v>
      </c>
      <c r="D329" s="15" t="s">
        <v>1068</v>
      </c>
      <c r="E329" s="14" t="s">
        <v>654</v>
      </c>
      <c r="F329" s="15" t="s">
        <v>930</v>
      </c>
    </row>
    <row r="330" spans="2:6" ht="30" hidden="1" customHeight="1" outlineLevel="3" x14ac:dyDescent="0.2">
      <c r="B330" s="13">
        <f t="shared" si="5"/>
        <v>327</v>
      </c>
      <c r="C330" s="14" t="s">
        <v>655</v>
      </c>
      <c r="D330" s="15" t="s">
        <v>1214</v>
      </c>
      <c r="E330" s="14" t="s">
        <v>656</v>
      </c>
      <c r="F330" s="15" t="s">
        <v>930</v>
      </c>
    </row>
    <row r="331" spans="2:6" ht="30" hidden="1" customHeight="1" outlineLevel="3" x14ac:dyDescent="0.2">
      <c r="B331" s="13">
        <f t="shared" si="5"/>
        <v>328</v>
      </c>
      <c r="C331" s="14" t="s">
        <v>657</v>
      </c>
      <c r="D331" s="15" t="s">
        <v>1210</v>
      </c>
      <c r="E331" s="14" t="s">
        <v>658</v>
      </c>
      <c r="F331" s="15" t="s">
        <v>930</v>
      </c>
    </row>
    <row r="332" spans="2:6" ht="30" customHeight="1" outlineLevel="1" x14ac:dyDescent="0.2">
      <c r="B332" s="9">
        <f t="shared" si="5"/>
        <v>329</v>
      </c>
      <c r="C332" s="10" t="s">
        <v>659</v>
      </c>
      <c r="D332" s="67" t="s">
        <v>931</v>
      </c>
      <c r="E332" s="10" t="s">
        <v>660</v>
      </c>
      <c r="F332" s="67" t="s">
        <v>930</v>
      </c>
    </row>
    <row r="333" spans="2:6" ht="30" customHeight="1" outlineLevel="2" x14ac:dyDescent="0.2">
      <c r="B333" s="11">
        <f t="shared" si="5"/>
        <v>330</v>
      </c>
      <c r="C333" s="12" t="s">
        <v>661</v>
      </c>
      <c r="D333" s="97" t="s">
        <v>932</v>
      </c>
      <c r="E333" s="23" t="s">
        <v>662</v>
      </c>
      <c r="F333" s="103" t="s">
        <v>930</v>
      </c>
    </row>
    <row r="334" spans="2:6" ht="30" customHeight="1" outlineLevel="2" x14ac:dyDescent="0.2">
      <c r="B334" s="11">
        <f t="shared" si="5"/>
        <v>331</v>
      </c>
      <c r="C334" s="12" t="s">
        <v>663</v>
      </c>
      <c r="D334" s="97" t="s">
        <v>1064</v>
      </c>
      <c r="E334" s="17" t="s">
        <v>664</v>
      </c>
      <c r="F334" s="31" t="s">
        <v>930</v>
      </c>
    </row>
    <row r="335" spans="2:6" ht="30" customHeight="1" x14ac:dyDescent="0.2">
      <c r="B335" s="7">
        <f t="shared" si="5"/>
        <v>332</v>
      </c>
      <c r="C335" s="8" t="s">
        <v>665</v>
      </c>
      <c r="D335" s="96" t="s">
        <v>1073</v>
      </c>
      <c r="E335" s="22" t="s">
        <v>666</v>
      </c>
      <c r="F335" s="102" t="s">
        <v>1073</v>
      </c>
    </row>
    <row r="336" spans="2:6" ht="30" customHeight="1" outlineLevel="1" x14ac:dyDescent="0.2">
      <c r="B336" s="9">
        <f t="shared" si="5"/>
        <v>333</v>
      </c>
      <c r="C336" s="10" t="s">
        <v>667</v>
      </c>
      <c r="D336" s="67" t="s">
        <v>1185</v>
      </c>
      <c r="E336" s="10" t="s">
        <v>668</v>
      </c>
      <c r="F336" s="67" t="s">
        <v>1073</v>
      </c>
    </row>
    <row r="337" spans="2:6" ht="30" customHeight="1" outlineLevel="2" x14ac:dyDescent="0.2">
      <c r="B337" s="11">
        <f t="shared" si="5"/>
        <v>334</v>
      </c>
      <c r="C337" s="12" t="s">
        <v>669</v>
      </c>
      <c r="D337" s="97" t="s">
        <v>1197</v>
      </c>
      <c r="E337" s="23" t="s">
        <v>670</v>
      </c>
      <c r="F337" s="103" t="s">
        <v>1073</v>
      </c>
    </row>
    <row r="338" spans="2:6" ht="30" customHeight="1" outlineLevel="2" x14ac:dyDescent="0.2">
      <c r="B338" s="11">
        <f t="shared" si="5"/>
        <v>335</v>
      </c>
      <c r="C338" s="12" t="s">
        <v>671</v>
      </c>
      <c r="D338" s="97" t="s">
        <v>1311</v>
      </c>
      <c r="E338" s="12" t="s">
        <v>672</v>
      </c>
      <c r="F338" s="97" t="s">
        <v>1073</v>
      </c>
    </row>
    <row r="339" spans="2:6" ht="30" customHeight="1" outlineLevel="2" x14ac:dyDescent="0.2">
      <c r="B339" s="11">
        <f t="shared" si="5"/>
        <v>336</v>
      </c>
      <c r="C339" s="12" t="s">
        <v>673</v>
      </c>
      <c r="D339" s="97" t="s">
        <v>1230</v>
      </c>
      <c r="E339" s="12" t="s">
        <v>674</v>
      </c>
      <c r="F339" s="97" t="s">
        <v>1073</v>
      </c>
    </row>
    <row r="340" spans="2:6" ht="30" customHeight="1" outlineLevel="2" x14ac:dyDescent="0.2">
      <c r="B340" s="11">
        <f t="shared" si="5"/>
        <v>337</v>
      </c>
      <c r="C340" s="12" t="s">
        <v>675</v>
      </c>
      <c r="D340" s="97" t="s">
        <v>1186</v>
      </c>
      <c r="E340" s="12" t="s">
        <v>676</v>
      </c>
      <c r="F340" s="97" t="s">
        <v>1073</v>
      </c>
    </row>
    <row r="341" spans="2:6" ht="30" customHeight="1" outlineLevel="2" x14ac:dyDescent="0.2">
      <c r="B341" s="11">
        <f t="shared" si="5"/>
        <v>338</v>
      </c>
      <c r="C341" s="12" t="s">
        <v>677</v>
      </c>
      <c r="D341" s="97" t="s">
        <v>1227</v>
      </c>
      <c r="E341" s="12" t="s">
        <v>678</v>
      </c>
      <c r="F341" s="97" t="s">
        <v>1073</v>
      </c>
    </row>
    <row r="342" spans="2:6" ht="30" customHeight="1" outlineLevel="1" x14ac:dyDescent="0.2">
      <c r="B342" s="9">
        <f t="shared" si="5"/>
        <v>339</v>
      </c>
      <c r="C342" s="10" t="s">
        <v>679</v>
      </c>
      <c r="D342" s="67" t="s">
        <v>1074</v>
      </c>
      <c r="E342" s="10" t="s">
        <v>680</v>
      </c>
      <c r="F342" s="67" t="s">
        <v>1073</v>
      </c>
    </row>
    <row r="343" spans="2:6" ht="30" customHeight="1" outlineLevel="2" x14ac:dyDescent="0.2">
      <c r="B343" s="11">
        <f t="shared" si="5"/>
        <v>340</v>
      </c>
      <c r="C343" s="12" t="s">
        <v>681</v>
      </c>
      <c r="D343" s="97" t="s">
        <v>1075</v>
      </c>
      <c r="E343" s="12" t="s">
        <v>682</v>
      </c>
      <c r="F343" s="97" t="s">
        <v>1073</v>
      </c>
    </row>
    <row r="344" spans="2:6" ht="30" hidden="1" customHeight="1" outlineLevel="3" x14ac:dyDescent="0.2">
      <c r="B344" s="13">
        <f t="shared" si="5"/>
        <v>341</v>
      </c>
      <c r="C344" s="14" t="s">
        <v>683</v>
      </c>
      <c r="D344" s="15" t="s">
        <v>1076</v>
      </c>
      <c r="E344" s="43" t="s">
        <v>684</v>
      </c>
      <c r="F344" s="107" t="s">
        <v>1073</v>
      </c>
    </row>
    <row r="345" spans="2:6" ht="30" hidden="1" customHeight="1" outlineLevel="3" x14ac:dyDescent="0.2">
      <c r="B345" s="13">
        <f t="shared" si="5"/>
        <v>342</v>
      </c>
      <c r="C345" s="14" t="s">
        <v>685</v>
      </c>
      <c r="D345" s="15" t="s">
        <v>1077</v>
      </c>
      <c r="E345" s="43" t="s">
        <v>686</v>
      </c>
      <c r="F345" s="107" t="s">
        <v>1073</v>
      </c>
    </row>
    <row r="346" spans="2:6" ht="30" hidden="1" customHeight="1" outlineLevel="3" x14ac:dyDescent="0.2">
      <c r="B346" s="13">
        <f t="shared" si="5"/>
        <v>343</v>
      </c>
      <c r="C346" s="14" t="s">
        <v>687</v>
      </c>
      <c r="D346" s="15" t="s">
        <v>1078</v>
      </c>
      <c r="E346" s="43" t="s">
        <v>688</v>
      </c>
      <c r="F346" s="107" t="s">
        <v>1073</v>
      </c>
    </row>
    <row r="347" spans="2:6" ht="30" hidden="1" customHeight="1" outlineLevel="3" x14ac:dyDescent="0.2">
      <c r="B347" s="13">
        <f t="shared" si="5"/>
        <v>344</v>
      </c>
      <c r="C347" s="14" t="s">
        <v>689</v>
      </c>
      <c r="D347" s="15" t="s">
        <v>1196</v>
      </c>
      <c r="E347" s="43" t="s">
        <v>690</v>
      </c>
      <c r="F347" s="107" t="s">
        <v>1073</v>
      </c>
    </row>
    <row r="348" spans="2:6" ht="30" customHeight="1" outlineLevel="2" collapsed="1" x14ac:dyDescent="0.2">
      <c r="B348" s="13">
        <f t="shared" si="5"/>
        <v>345</v>
      </c>
      <c r="C348" s="12" t="s">
        <v>691</v>
      </c>
      <c r="D348" s="97" t="s">
        <v>1312</v>
      </c>
      <c r="E348" s="12" t="s">
        <v>692</v>
      </c>
      <c r="F348" s="97" t="s">
        <v>1073</v>
      </c>
    </row>
    <row r="349" spans="2:6" ht="30" customHeight="1" x14ac:dyDescent="0.2">
      <c r="B349" s="7">
        <f t="shared" si="5"/>
        <v>346</v>
      </c>
      <c r="C349" s="8" t="s">
        <v>693</v>
      </c>
      <c r="D349" s="96" t="s">
        <v>839</v>
      </c>
      <c r="E349" s="8" t="s">
        <v>694</v>
      </c>
      <c r="F349" s="96" t="s">
        <v>839</v>
      </c>
    </row>
    <row r="350" spans="2:6" ht="30" customHeight="1" outlineLevel="1" x14ac:dyDescent="0.2">
      <c r="B350" s="9">
        <f t="shared" si="5"/>
        <v>347</v>
      </c>
      <c r="C350" s="10" t="s">
        <v>695</v>
      </c>
      <c r="D350" s="67" t="s">
        <v>1107</v>
      </c>
      <c r="E350" s="10" t="s">
        <v>696</v>
      </c>
      <c r="F350" s="67" t="s">
        <v>839</v>
      </c>
    </row>
    <row r="351" spans="2:6" ht="30" customHeight="1" outlineLevel="2" x14ac:dyDescent="0.2">
      <c r="B351" s="11">
        <f t="shared" si="5"/>
        <v>348</v>
      </c>
      <c r="C351" s="12" t="s">
        <v>697</v>
      </c>
      <c r="D351" s="97" t="s">
        <v>1058</v>
      </c>
      <c r="E351" s="12" t="s">
        <v>698</v>
      </c>
      <c r="F351" s="97" t="s">
        <v>839</v>
      </c>
    </row>
    <row r="352" spans="2:6" ht="30" customHeight="1" outlineLevel="2" x14ac:dyDescent="0.2">
      <c r="B352" s="11">
        <f t="shared" si="5"/>
        <v>349</v>
      </c>
      <c r="C352" s="12" t="s">
        <v>699</v>
      </c>
      <c r="D352" s="97" t="s">
        <v>844</v>
      </c>
      <c r="E352" s="12" t="s">
        <v>700</v>
      </c>
      <c r="F352" s="97" t="s">
        <v>839</v>
      </c>
    </row>
    <row r="353" spans="2:6" ht="30" customHeight="1" outlineLevel="2" x14ac:dyDescent="0.2">
      <c r="B353" s="11">
        <f t="shared" si="5"/>
        <v>350</v>
      </c>
      <c r="C353" s="12" t="s">
        <v>701</v>
      </c>
      <c r="D353" s="97" t="s">
        <v>840</v>
      </c>
      <c r="E353" s="12" t="s">
        <v>702</v>
      </c>
      <c r="F353" s="97" t="s">
        <v>839</v>
      </c>
    </row>
    <row r="354" spans="2:6" ht="30" hidden="1" customHeight="1" outlineLevel="3" x14ac:dyDescent="0.2">
      <c r="B354" s="24">
        <f t="shared" si="5"/>
        <v>351</v>
      </c>
      <c r="C354" s="25" t="s">
        <v>703</v>
      </c>
      <c r="D354" s="44" t="s">
        <v>1313</v>
      </c>
      <c r="E354" s="44" t="s">
        <v>704</v>
      </c>
      <c r="F354" s="44" t="s">
        <v>839</v>
      </c>
    </row>
    <row r="355" spans="2:6" ht="30" hidden="1" customHeight="1" outlineLevel="3" x14ac:dyDescent="0.2">
      <c r="B355" s="13">
        <f t="shared" si="5"/>
        <v>352</v>
      </c>
      <c r="C355" s="14" t="s">
        <v>705</v>
      </c>
      <c r="D355" s="15" t="s">
        <v>842</v>
      </c>
      <c r="E355" s="14" t="s">
        <v>706</v>
      </c>
      <c r="F355" s="15" t="s">
        <v>839</v>
      </c>
    </row>
    <row r="356" spans="2:6" ht="30" hidden="1" customHeight="1" outlineLevel="3" x14ac:dyDescent="0.2">
      <c r="B356" s="13">
        <f t="shared" si="5"/>
        <v>353</v>
      </c>
      <c r="C356" s="14" t="s">
        <v>707</v>
      </c>
      <c r="D356" s="15" t="s">
        <v>843</v>
      </c>
      <c r="E356" s="15" t="s">
        <v>708</v>
      </c>
      <c r="F356" s="15" t="s">
        <v>839</v>
      </c>
    </row>
    <row r="357" spans="2:6" ht="30" hidden="1" customHeight="1" outlineLevel="3" x14ac:dyDescent="0.2">
      <c r="B357" s="13">
        <f t="shared" si="5"/>
        <v>354</v>
      </c>
      <c r="C357" s="14" t="s">
        <v>709</v>
      </c>
      <c r="D357" s="15" t="s">
        <v>1069</v>
      </c>
      <c r="E357" s="15" t="s">
        <v>710</v>
      </c>
      <c r="F357" s="15" t="s">
        <v>839</v>
      </c>
    </row>
    <row r="358" spans="2:6" ht="30" hidden="1" customHeight="1" outlineLevel="3" x14ac:dyDescent="0.2">
      <c r="B358" s="13">
        <f t="shared" si="5"/>
        <v>355</v>
      </c>
      <c r="C358" s="14" t="s">
        <v>711</v>
      </c>
      <c r="D358" s="15" t="s">
        <v>1070</v>
      </c>
      <c r="E358" s="15" t="s">
        <v>712</v>
      </c>
      <c r="F358" s="15" t="s">
        <v>839</v>
      </c>
    </row>
    <row r="359" spans="2:6" ht="30" hidden="1" customHeight="1" outlineLevel="3" x14ac:dyDescent="0.2">
      <c r="B359" s="13">
        <f t="shared" si="5"/>
        <v>356</v>
      </c>
      <c r="C359" s="14" t="s">
        <v>713</v>
      </c>
      <c r="D359" s="15" t="s">
        <v>1072</v>
      </c>
      <c r="E359" s="15" t="s">
        <v>714</v>
      </c>
      <c r="F359" s="15" t="s">
        <v>839</v>
      </c>
    </row>
    <row r="360" spans="2:6" ht="30" hidden="1" customHeight="1" outlineLevel="3" x14ac:dyDescent="0.2">
      <c r="B360" s="13">
        <f t="shared" si="5"/>
        <v>357</v>
      </c>
      <c r="C360" s="14" t="s">
        <v>715</v>
      </c>
      <c r="D360" s="15" t="s">
        <v>841</v>
      </c>
      <c r="E360" s="15" t="s">
        <v>716</v>
      </c>
      <c r="F360" s="15" t="s">
        <v>839</v>
      </c>
    </row>
    <row r="361" spans="2:6" ht="30" hidden="1" customHeight="1" outlineLevel="3" x14ac:dyDescent="0.2">
      <c r="B361" s="13">
        <f t="shared" si="5"/>
        <v>358</v>
      </c>
      <c r="C361" s="14" t="s">
        <v>717</v>
      </c>
      <c r="D361" s="15" t="s">
        <v>1071</v>
      </c>
      <c r="E361" s="15" t="s">
        <v>718</v>
      </c>
      <c r="F361" s="15" t="s">
        <v>839</v>
      </c>
    </row>
    <row r="362" spans="2:6" ht="30" customHeight="1" outlineLevel="2" collapsed="1" x14ac:dyDescent="0.2">
      <c r="B362" s="11">
        <f t="shared" si="5"/>
        <v>359</v>
      </c>
      <c r="C362" s="12" t="s">
        <v>719</v>
      </c>
      <c r="D362" s="97" t="s">
        <v>1314</v>
      </c>
      <c r="E362" s="12" t="s">
        <v>720</v>
      </c>
      <c r="F362" s="97" t="s">
        <v>839</v>
      </c>
    </row>
    <row r="363" spans="2:6" ht="30" customHeight="1" outlineLevel="1" x14ac:dyDescent="0.2">
      <c r="B363" s="9">
        <f t="shared" si="5"/>
        <v>360</v>
      </c>
      <c r="C363" s="10" t="s">
        <v>721</v>
      </c>
      <c r="D363" s="67" t="s">
        <v>1059</v>
      </c>
      <c r="E363" s="10" t="s">
        <v>722</v>
      </c>
      <c r="F363" s="67" t="s">
        <v>839</v>
      </c>
    </row>
    <row r="364" spans="2:6" ht="30" customHeight="1" outlineLevel="2" x14ac:dyDescent="0.2">
      <c r="B364" s="11">
        <f t="shared" si="5"/>
        <v>361</v>
      </c>
      <c r="C364" s="12" t="s">
        <v>723</v>
      </c>
      <c r="D364" s="97" t="s">
        <v>1221</v>
      </c>
      <c r="E364" s="12" t="s">
        <v>724</v>
      </c>
      <c r="F364" s="97" t="s">
        <v>839</v>
      </c>
    </row>
    <row r="365" spans="2:6" ht="30" customHeight="1" outlineLevel="2" x14ac:dyDescent="0.2">
      <c r="B365" s="11">
        <f t="shared" si="5"/>
        <v>362</v>
      </c>
      <c r="C365" s="12" t="s">
        <v>725</v>
      </c>
      <c r="D365" s="97" t="s">
        <v>1165</v>
      </c>
      <c r="E365" s="12" t="s">
        <v>726</v>
      </c>
      <c r="F365" s="97" t="s">
        <v>839</v>
      </c>
    </row>
    <row r="366" spans="2:6" ht="30" customHeight="1" outlineLevel="2" x14ac:dyDescent="0.2">
      <c r="B366" s="11">
        <f t="shared" si="5"/>
        <v>363</v>
      </c>
      <c r="C366" s="12" t="s">
        <v>727</v>
      </c>
      <c r="D366" s="97" t="s">
        <v>1062</v>
      </c>
      <c r="E366" s="12" t="s">
        <v>728</v>
      </c>
      <c r="F366" s="97" t="s">
        <v>839</v>
      </c>
    </row>
    <row r="367" spans="2:6" ht="30" hidden="1" customHeight="1" outlineLevel="3" x14ac:dyDescent="0.2">
      <c r="B367" s="13">
        <f t="shared" si="5"/>
        <v>364</v>
      </c>
      <c r="C367" s="14" t="s">
        <v>729</v>
      </c>
      <c r="D367" s="15" t="s">
        <v>1063</v>
      </c>
      <c r="E367" s="14" t="s">
        <v>730</v>
      </c>
      <c r="F367" s="15" t="s">
        <v>839</v>
      </c>
    </row>
    <row r="368" spans="2:6" ht="30" hidden="1" customHeight="1" outlineLevel="3" x14ac:dyDescent="0.2">
      <c r="B368" s="13">
        <f t="shared" si="5"/>
        <v>365</v>
      </c>
      <c r="C368" s="14" t="s">
        <v>731</v>
      </c>
      <c r="D368" s="15" t="s">
        <v>1164</v>
      </c>
      <c r="E368" s="15" t="s">
        <v>732</v>
      </c>
      <c r="F368" s="15" t="s">
        <v>839</v>
      </c>
    </row>
    <row r="369" spans="2:6" ht="30" hidden="1" customHeight="1" outlineLevel="3" x14ac:dyDescent="0.2">
      <c r="B369" s="13">
        <f t="shared" si="5"/>
        <v>366</v>
      </c>
      <c r="C369" s="14" t="s">
        <v>733</v>
      </c>
      <c r="D369" s="15" t="s">
        <v>1065</v>
      </c>
      <c r="E369" s="15" t="s">
        <v>34</v>
      </c>
      <c r="F369" s="15" t="s">
        <v>839</v>
      </c>
    </row>
    <row r="370" spans="2:6" ht="30" customHeight="1" outlineLevel="2" collapsed="1" x14ac:dyDescent="0.2">
      <c r="B370" s="11">
        <f t="shared" si="5"/>
        <v>367</v>
      </c>
      <c r="C370" s="12" t="s">
        <v>734</v>
      </c>
      <c r="D370" s="97" t="s">
        <v>1166</v>
      </c>
      <c r="E370" s="12" t="s">
        <v>735</v>
      </c>
      <c r="F370" s="97" t="s">
        <v>839</v>
      </c>
    </row>
    <row r="371" spans="2:6" ht="30" hidden="1" customHeight="1" outlineLevel="3" x14ac:dyDescent="0.2">
      <c r="B371" s="13">
        <f t="shared" si="5"/>
        <v>368</v>
      </c>
      <c r="C371" s="14" t="s">
        <v>736</v>
      </c>
      <c r="D371" s="15" t="s">
        <v>1168</v>
      </c>
      <c r="E371" s="45" t="s">
        <v>737</v>
      </c>
      <c r="F371" s="45" t="s">
        <v>839</v>
      </c>
    </row>
    <row r="372" spans="2:6" ht="30" hidden="1" customHeight="1" outlineLevel="3" x14ac:dyDescent="0.2">
      <c r="B372" s="24">
        <f t="shared" si="5"/>
        <v>369</v>
      </c>
      <c r="C372" s="25" t="s">
        <v>738</v>
      </c>
      <c r="D372" s="44" t="s">
        <v>1315</v>
      </c>
      <c r="E372" s="44" t="s">
        <v>739</v>
      </c>
      <c r="F372" s="44" t="s">
        <v>839</v>
      </c>
    </row>
    <row r="373" spans="2:6" ht="30" hidden="1" customHeight="1" outlineLevel="3" x14ac:dyDescent="0.2">
      <c r="B373" s="46">
        <f t="shared" si="5"/>
        <v>370</v>
      </c>
      <c r="C373" s="47" t="s">
        <v>740</v>
      </c>
      <c r="D373" s="48" t="s">
        <v>1316</v>
      </c>
      <c r="E373" s="48" t="s">
        <v>741</v>
      </c>
      <c r="F373" s="48" t="s">
        <v>839</v>
      </c>
    </row>
    <row r="374" spans="2:6" ht="30" hidden="1" customHeight="1" outlineLevel="3" x14ac:dyDescent="0.2">
      <c r="B374" s="13">
        <f t="shared" si="5"/>
        <v>371</v>
      </c>
      <c r="C374" s="14" t="s">
        <v>742</v>
      </c>
      <c r="D374" s="15" t="s">
        <v>1167</v>
      </c>
      <c r="E374" s="15" t="s">
        <v>743</v>
      </c>
      <c r="F374" s="15" t="s">
        <v>839</v>
      </c>
    </row>
    <row r="375" spans="2:6" ht="30" hidden="1" customHeight="1" outlineLevel="3" x14ac:dyDescent="0.2">
      <c r="B375" s="46">
        <f t="shared" si="5"/>
        <v>372</v>
      </c>
      <c r="C375" s="47" t="s">
        <v>744</v>
      </c>
      <c r="D375" s="48" t="s">
        <v>1317</v>
      </c>
      <c r="E375" s="49" t="s">
        <v>745</v>
      </c>
      <c r="F375" s="49" t="s">
        <v>839</v>
      </c>
    </row>
    <row r="376" spans="2:6" ht="30" customHeight="1" outlineLevel="2" collapsed="1" x14ac:dyDescent="0.2">
      <c r="B376" s="11">
        <f t="shared" si="5"/>
        <v>373</v>
      </c>
      <c r="C376" s="12" t="s">
        <v>746</v>
      </c>
      <c r="D376" s="97" t="s">
        <v>1060</v>
      </c>
      <c r="E376" s="12" t="s">
        <v>747</v>
      </c>
      <c r="F376" s="97" t="s">
        <v>839</v>
      </c>
    </row>
    <row r="377" spans="2:6" ht="30" hidden="1" customHeight="1" outlineLevel="3" x14ac:dyDescent="0.2">
      <c r="B377" s="13">
        <f t="shared" si="5"/>
        <v>374</v>
      </c>
      <c r="C377" s="14" t="s">
        <v>748</v>
      </c>
      <c r="D377" s="15" t="s">
        <v>1061</v>
      </c>
      <c r="E377" s="15" t="s">
        <v>749</v>
      </c>
      <c r="F377" s="15" t="s">
        <v>839</v>
      </c>
    </row>
    <row r="378" spans="2:6" ht="30" hidden="1" customHeight="1" outlineLevel="3" x14ac:dyDescent="0.2">
      <c r="B378" s="13">
        <f t="shared" si="5"/>
        <v>375</v>
      </c>
      <c r="C378" s="14" t="s">
        <v>750</v>
      </c>
      <c r="D378" s="15" t="s">
        <v>1169</v>
      </c>
      <c r="E378" s="15" t="s">
        <v>751</v>
      </c>
      <c r="F378" s="15" t="s">
        <v>839</v>
      </c>
    </row>
    <row r="379" spans="2:6" ht="30" hidden="1" customHeight="1" outlineLevel="3" x14ac:dyDescent="0.2">
      <c r="B379" s="13">
        <f t="shared" si="5"/>
        <v>376</v>
      </c>
      <c r="C379" s="14" t="s">
        <v>752</v>
      </c>
      <c r="D379" s="15" t="s">
        <v>1163</v>
      </c>
      <c r="E379" s="14" t="s">
        <v>753</v>
      </c>
      <c r="F379" s="15" t="s">
        <v>839</v>
      </c>
    </row>
    <row r="380" spans="2:6" ht="30" customHeight="1" outlineLevel="1" x14ac:dyDescent="0.2">
      <c r="B380" s="9">
        <f t="shared" si="5"/>
        <v>377</v>
      </c>
      <c r="C380" s="10" t="s">
        <v>754</v>
      </c>
      <c r="D380" s="67" t="s">
        <v>845</v>
      </c>
      <c r="E380" s="10" t="s">
        <v>755</v>
      </c>
      <c r="F380" s="67" t="s">
        <v>839</v>
      </c>
    </row>
    <row r="381" spans="2:6" ht="30" customHeight="1" outlineLevel="2" x14ac:dyDescent="0.2">
      <c r="B381" s="11">
        <f t="shared" si="5"/>
        <v>378</v>
      </c>
      <c r="C381" s="12" t="s">
        <v>756</v>
      </c>
      <c r="D381" s="97" t="s">
        <v>1318</v>
      </c>
      <c r="E381" s="12" t="s">
        <v>757</v>
      </c>
      <c r="F381" s="97" t="s">
        <v>839</v>
      </c>
    </row>
    <row r="382" spans="2:6" ht="30" customHeight="1" outlineLevel="2" x14ac:dyDescent="0.2">
      <c r="B382" s="11">
        <f t="shared" si="5"/>
        <v>379</v>
      </c>
      <c r="C382" s="12" t="s">
        <v>758</v>
      </c>
      <c r="D382" s="97" t="s">
        <v>846</v>
      </c>
      <c r="E382" s="12" t="s">
        <v>759</v>
      </c>
      <c r="F382" s="97" t="s">
        <v>839</v>
      </c>
    </row>
    <row r="383" spans="2:6" ht="30" customHeight="1" outlineLevel="3" x14ac:dyDescent="0.2">
      <c r="B383" s="13">
        <f t="shared" si="5"/>
        <v>380</v>
      </c>
      <c r="C383" s="14" t="s">
        <v>760</v>
      </c>
      <c r="D383" s="15" t="s">
        <v>847</v>
      </c>
      <c r="E383" s="15" t="s">
        <v>761</v>
      </c>
      <c r="F383" s="15" t="s">
        <v>839</v>
      </c>
    </row>
    <row r="384" spans="2:6" ht="30" customHeight="1" outlineLevel="3" x14ac:dyDescent="0.2">
      <c r="B384" s="13">
        <f t="shared" si="5"/>
        <v>381</v>
      </c>
      <c r="C384" s="14" t="s">
        <v>762</v>
      </c>
      <c r="D384" s="15" t="s">
        <v>848</v>
      </c>
      <c r="E384" s="15" t="s">
        <v>763</v>
      </c>
      <c r="F384" s="15" t="s">
        <v>839</v>
      </c>
    </row>
    <row r="385" spans="2:6" ht="30" customHeight="1" outlineLevel="3" x14ac:dyDescent="0.2">
      <c r="B385" s="13">
        <f t="shared" si="5"/>
        <v>382</v>
      </c>
      <c r="C385" s="14" t="s">
        <v>764</v>
      </c>
      <c r="D385" s="15" t="s">
        <v>849</v>
      </c>
      <c r="E385" s="15" t="s">
        <v>765</v>
      </c>
      <c r="F385" s="15" t="s">
        <v>839</v>
      </c>
    </row>
    <row r="386" spans="2:6" ht="30" customHeight="1" outlineLevel="3" x14ac:dyDescent="0.2">
      <c r="B386" s="13">
        <f t="shared" si="5"/>
        <v>383</v>
      </c>
      <c r="C386" s="14" t="s">
        <v>766</v>
      </c>
      <c r="D386" s="15" t="s">
        <v>850</v>
      </c>
      <c r="E386" s="15" t="s">
        <v>767</v>
      </c>
      <c r="F386" s="15" t="s">
        <v>839</v>
      </c>
    </row>
    <row r="387" spans="2:6" ht="30" customHeight="1" outlineLevel="3" x14ac:dyDescent="0.2">
      <c r="B387" s="13">
        <f t="shared" si="5"/>
        <v>384</v>
      </c>
      <c r="C387" s="14" t="s">
        <v>768</v>
      </c>
      <c r="D387" s="15" t="s">
        <v>1149</v>
      </c>
      <c r="E387" s="15" t="s">
        <v>769</v>
      </c>
      <c r="F387" s="15" t="s">
        <v>839</v>
      </c>
    </row>
    <row r="388" spans="2:6" ht="30" customHeight="1" outlineLevel="2" x14ac:dyDescent="0.2">
      <c r="B388" s="11">
        <f t="shared" si="5"/>
        <v>385</v>
      </c>
      <c r="C388" s="12" t="s">
        <v>770</v>
      </c>
      <c r="D388" s="97" t="s">
        <v>1319</v>
      </c>
      <c r="E388" s="12" t="s">
        <v>771</v>
      </c>
      <c r="F388" s="97" t="s">
        <v>839</v>
      </c>
    </row>
    <row r="389" spans="2:6" ht="30" customHeight="1" outlineLevel="2" x14ac:dyDescent="0.2">
      <c r="B389" s="11">
        <f t="shared" si="5"/>
        <v>386</v>
      </c>
      <c r="C389" s="12" t="s">
        <v>772</v>
      </c>
      <c r="D389" s="97" t="s">
        <v>1226</v>
      </c>
      <c r="E389" s="12" t="s">
        <v>773</v>
      </c>
      <c r="F389" s="97" t="s">
        <v>839</v>
      </c>
    </row>
    <row r="390" spans="2:6" ht="30" customHeight="1" outlineLevel="2" x14ac:dyDescent="0.2">
      <c r="B390" s="11">
        <f t="shared" ref="B390:B404" si="6">B389+1</f>
        <v>387</v>
      </c>
      <c r="C390" s="12" t="s">
        <v>774</v>
      </c>
      <c r="D390" s="97" t="s">
        <v>1320</v>
      </c>
      <c r="E390" s="12" t="s">
        <v>775</v>
      </c>
      <c r="F390" s="97" t="s">
        <v>839</v>
      </c>
    </row>
    <row r="391" spans="2:6" ht="30" customHeight="1" outlineLevel="2" x14ac:dyDescent="0.2">
      <c r="B391" s="11">
        <f t="shared" si="6"/>
        <v>388</v>
      </c>
      <c r="C391" s="12" t="s">
        <v>776</v>
      </c>
      <c r="D391" s="97" t="s">
        <v>1321</v>
      </c>
      <c r="E391" s="12" t="s">
        <v>777</v>
      </c>
      <c r="F391" s="97" t="s">
        <v>839</v>
      </c>
    </row>
    <row r="392" spans="2:6" ht="30" customHeight="1" outlineLevel="2" x14ac:dyDescent="0.2">
      <c r="B392" s="11">
        <f t="shared" si="6"/>
        <v>389</v>
      </c>
      <c r="C392" s="12" t="s">
        <v>778</v>
      </c>
      <c r="D392" s="97" t="s">
        <v>1322</v>
      </c>
      <c r="E392" s="12" t="s">
        <v>779</v>
      </c>
      <c r="F392" s="97" t="s">
        <v>839</v>
      </c>
    </row>
    <row r="393" spans="2:6" ht="30" customHeight="1" outlineLevel="1" x14ac:dyDescent="0.2">
      <c r="B393" s="9">
        <f t="shared" si="6"/>
        <v>390</v>
      </c>
      <c r="C393" s="10" t="s">
        <v>780</v>
      </c>
      <c r="D393" s="67" t="s">
        <v>945</v>
      </c>
      <c r="E393" s="10" t="s">
        <v>781</v>
      </c>
      <c r="F393" s="67" t="s">
        <v>839</v>
      </c>
    </row>
    <row r="394" spans="2:6" ht="30" customHeight="1" outlineLevel="2" x14ac:dyDescent="0.2">
      <c r="B394" s="11">
        <f t="shared" si="6"/>
        <v>391</v>
      </c>
      <c r="C394" s="12" t="s">
        <v>782</v>
      </c>
      <c r="D394" s="97" t="s">
        <v>946</v>
      </c>
      <c r="E394" s="12" t="s">
        <v>783</v>
      </c>
      <c r="F394" s="97" t="s">
        <v>839</v>
      </c>
    </row>
    <row r="395" spans="2:6" ht="30" customHeight="1" outlineLevel="2" x14ac:dyDescent="0.2">
      <c r="B395" s="11">
        <f t="shared" si="6"/>
        <v>392</v>
      </c>
      <c r="C395" s="12" t="s">
        <v>784</v>
      </c>
      <c r="D395" s="97" t="s">
        <v>947</v>
      </c>
      <c r="E395" s="12" t="s">
        <v>785</v>
      </c>
      <c r="F395" s="97" t="s">
        <v>839</v>
      </c>
    </row>
    <row r="396" spans="2:6" ht="30" customHeight="1" outlineLevel="2" x14ac:dyDescent="0.2">
      <c r="B396" s="11">
        <f t="shared" si="6"/>
        <v>393</v>
      </c>
      <c r="C396" s="12" t="s">
        <v>786</v>
      </c>
      <c r="D396" s="97" t="s">
        <v>1211</v>
      </c>
      <c r="E396" s="12" t="s">
        <v>787</v>
      </c>
      <c r="F396" s="97" t="s">
        <v>839</v>
      </c>
    </row>
    <row r="397" spans="2:6" ht="30" customHeight="1" outlineLevel="2" x14ac:dyDescent="0.2">
      <c r="B397" s="11">
        <f t="shared" si="6"/>
        <v>394</v>
      </c>
      <c r="C397" s="12" t="s">
        <v>788</v>
      </c>
      <c r="D397" s="97" t="s">
        <v>1215</v>
      </c>
      <c r="E397" s="12" t="s">
        <v>789</v>
      </c>
      <c r="F397" s="97" t="s">
        <v>839</v>
      </c>
    </row>
    <row r="398" spans="2:6" ht="30" customHeight="1" outlineLevel="1" x14ac:dyDescent="0.2">
      <c r="B398" s="9">
        <f t="shared" si="6"/>
        <v>395</v>
      </c>
      <c r="C398" s="10" t="s">
        <v>790</v>
      </c>
      <c r="D398" s="67" t="s">
        <v>861</v>
      </c>
      <c r="E398" s="10" t="s">
        <v>791</v>
      </c>
      <c r="F398" s="67" t="s">
        <v>839</v>
      </c>
    </row>
    <row r="399" spans="2:6" ht="30" customHeight="1" outlineLevel="2" x14ac:dyDescent="0.2">
      <c r="B399" s="11">
        <f t="shared" si="6"/>
        <v>396</v>
      </c>
      <c r="C399" s="12" t="s">
        <v>792</v>
      </c>
      <c r="D399" s="97" t="s">
        <v>862</v>
      </c>
      <c r="E399" s="12" t="s">
        <v>793</v>
      </c>
      <c r="F399" s="97" t="s">
        <v>839</v>
      </c>
    </row>
    <row r="400" spans="2:6" ht="30" hidden="1" customHeight="1" outlineLevel="3" x14ac:dyDescent="0.2">
      <c r="B400" s="13">
        <f t="shared" si="6"/>
        <v>397</v>
      </c>
      <c r="C400" s="14" t="s">
        <v>794</v>
      </c>
      <c r="D400" s="15" t="s">
        <v>863</v>
      </c>
      <c r="E400" s="15" t="s">
        <v>795</v>
      </c>
      <c r="F400" s="15" t="s">
        <v>839</v>
      </c>
    </row>
    <row r="401" spans="2:6" ht="30" hidden="1" customHeight="1" outlineLevel="3" x14ac:dyDescent="0.2">
      <c r="B401" s="13">
        <f t="shared" si="6"/>
        <v>398</v>
      </c>
      <c r="C401" s="14" t="s">
        <v>796</v>
      </c>
      <c r="D401" s="15" t="s">
        <v>864</v>
      </c>
      <c r="E401" s="15" t="s">
        <v>797</v>
      </c>
      <c r="F401" s="15" t="s">
        <v>839</v>
      </c>
    </row>
    <row r="402" spans="2:6" ht="30" customHeight="1" outlineLevel="2" collapsed="1" x14ac:dyDescent="0.2">
      <c r="B402" s="11">
        <f t="shared" si="6"/>
        <v>399</v>
      </c>
      <c r="C402" s="12" t="s">
        <v>798</v>
      </c>
      <c r="D402" s="97" t="s">
        <v>1218</v>
      </c>
      <c r="E402" s="12" t="s">
        <v>799</v>
      </c>
      <c r="F402" s="97" t="s">
        <v>839</v>
      </c>
    </row>
    <row r="403" spans="2:6" ht="30" hidden="1" customHeight="1" outlineLevel="3" x14ac:dyDescent="0.2">
      <c r="B403" s="13">
        <f t="shared" si="6"/>
        <v>400</v>
      </c>
      <c r="C403" s="14" t="s">
        <v>800</v>
      </c>
      <c r="D403" s="15" t="s">
        <v>1231</v>
      </c>
      <c r="E403" s="15" t="s">
        <v>801</v>
      </c>
      <c r="F403" s="15" t="s">
        <v>839</v>
      </c>
    </row>
    <row r="404" spans="2:6" ht="30" hidden="1" customHeight="1" outlineLevel="3" x14ac:dyDescent="0.2">
      <c r="B404" s="13">
        <f t="shared" si="6"/>
        <v>401</v>
      </c>
      <c r="C404" s="14" t="s">
        <v>802</v>
      </c>
      <c r="D404" s="15" t="s">
        <v>1220</v>
      </c>
      <c r="E404" s="15" t="s">
        <v>803</v>
      </c>
      <c r="F404" s="15" t="s">
        <v>839</v>
      </c>
    </row>
    <row r="405" spans="2:6" ht="30" customHeight="1" x14ac:dyDescent="0.2">
      <c r="B405" s="7">
        <v>399</v>
      </c>
      <c r="C405" s="8" t="s">
        <v>804</v>
      </c>
      <c r="D405" s="96" t="s">
        <v>835</v>
      </c>
      <c r="E405" s="22" t="s">
        <v>805</v>
      </c>
      <c r="F405" s="102" t="s">
        <v>835</v>
      </c>
    </row>
    <row r="406" spans="2:6" ht="30" customHeight="1" outlineLevel="1" x14ac:dyDescent="0.2">
      <c r="B406" s="9">
        <v>400</v>
      </c>
      <c r="C406" s="10" t="s">
        <v>806</v>
      </c>
      <c r="D406" s="67" t="s">
        <v>836</v>
      </c>
      <c r="E406" s="10" t="s">
        <v>807</v>
      </c>
      <c r="F406" s="67" t="s">
        <v>835</v>
      </c>
    </row>
    <row r="407" spans="2:6" ht="30" customHeight="1" outlineLevel="1" x14ac:dyDescent="0.2">
      <c r="B407" s="9">
        <v>401</v>
      </c>
      <c r="C407" s="10" t="s">
        <v>808</v>
      </c>
      <c r="D407" s="67" t="s">
        <v>837</v>
      </c>
      <c r="E407" s="10" t="s">
        <v>809</v>
      </c>
      <c r="F407" s="67" t="s">
        <v>835</v>
      </c>
    </row>
    <row r="408" spans="2:6" ht="30" customHeight="1" outlineLevel="1" x14ac:dyDescent="0.2">
      <c r="B408" s="9">
        <v>402</v>
      </c>
      <c r="C408" s="10" t="s">
        <v>810</v>
      </c>
      <c r="D408" s="67" t="s">
        <v>838</v>
      </c>
      <c r="E408" s="10" t="s">
        <v>811</v>
      </c>
      <c r="F408" s="67" t="s">
        <v>835</v>
      </c>
    </row>
  </sheetData>
  <autoFilter ref="B3:E402" xr:uid="{00000000-0009-0000-0000-000000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F16D-0FFC-4C77-89CF-76E5D1B344DB}">
  <sheetPr codeName="Ark6">
    <tabColor theme="7" tint="0.39997558519241921"/>
  </sheetPr>
  <dimension ref="A1:AQ23"/>
  <sheetViews>
    <sheetView tabSelected="1" topLeftCell="S1" workbookViewId="0">
      <selection activeCell="AI3" sqref="AI3"/>
    </sheetView>
  </sheetViews>
  <sheetFormatPr defaultRowHeight="15" outlineLevelCol="1" x14ac:dyDescent="0.25"/>
  <cols>
    <col min="1" max="2" width="11" style="51" customWidth="1"/>
    <col min="3" max="3" width="13.5703125" customWidth="1"/>
    <col min="4" max="4" width="26.85546875" customWidth="1"/>
    <col min="5" max="5" width="11.5703125" customWidth="1"/>
    <col min="7" max="7" width="8.85546875" bestFit="1" customWidth="1"/>
    <col min="8" max="17" width="12.7109375" customWidth="1" outlineLevel="1"/>
    <col min="18" max="20" width="11.5703125" customWidth="1"/>
    <col min="21" max="21" width="11.5703125" style="119" customWidth="1"/>
    <col min="22" max="23" width="11.5703125" customWidth="1"/>
    <col min="24" max="24" width="11.5703125" style="119" customWidth="1"/>
    <col min="25" max="27" width="11.5703125" customWidth="1"/>
    <col min="28" max="28" width="11.5703125" style="119" customWidth="1"/>
    <col min="29" max="29" width="13.140625" customWidth="1"/>
    <col min="30" max="30" width="9.7109375" customWidth="1"/>
    <col min="31" max="31" width="13.140625" customWidth="1"/>
    <col min="32" max="34" width="27.140625" customWidth="1" outlineLevel="1"/>
    <col min="35" max="35" width="31.7109375" customWidth="1" outlineLevel="1"/>
    <col min="36" max="36" width="14" customWidth="1"/>
    <col min="37" max="41" width="10.7109375" customWidth="1" outlineLevel="1"/>
    <col min="42" max="42" width="9.5703125" customWidth="1" outlineLevel="1"/>
    <col min="43" max="43" width="25.5703125" customWidth="1" outlineLevel="1"/>
  </cols>
  <sheetData>
    <row r="1" spans="1:43" ht="63.75" x14ac:dyDescent="0.25">
      <c r="A1" s="147" t="s">
        <v>1</v>
      </c>
      <c r="B1" s="171" t="s">
        <v>813</v>
      </c>
      <c r="C1" s="154" t="s">
        <v>1284</v>
      </c>
      <c r="D1" s="142" t="s">
        <v>816</v>
      </c>
      <c r="E1" s="142" t="s">
        <v>817</v>
      </c>
      <c r="F1" s="142" t="s">
        <v>818</v>
      </c>
      <c r="G1" s="148" t="s">
        <v>819</v>
      </c>
      <c r="H1" s="149" t="s">
        <v>1097</v>
      </c>
      <c r="I1" s="150" t="s">
        <v>1096</v>
      </c>
      <c r="J1" s="149" t="s">
        <v>1099</v>
      </c>
      <c r="K1" s="150" t="s">
        <v>1098</v>
      </c>
      <c r="L1" s="149" t="s">
        <v>1101</v>
      </c>
      <c r="M1" s="150" t="s">
        <v>1100</v>
      </c>
      <c r="N1" s="149" t="s">
        <v>1103</v>
      </c>
      <c r="O1" s="150" t="s">
        <v>1102</v>
      </c>
      <c r="P1" s="149" t="s">
        <v>1105</v>
      </c>
      <c r="Q1" s="150" t="s">
        <v>1104</v>
      </c>
      <c r="R1" s="136" t="s">
        <v>1333</v>
      </c>
      <c r="S1" s="151" t="s">
        <v>1288</v>
      </c>
      <c r="T1" s="151" t="s">
        <v>1289</v>
      </c>
      <c r="U1" s="152" t="s">
        <v>1337</v>
      </c>
      <c r="V1" s="144" t="s">
        <v>820</v>
      </c>
      <c r="W1" s="145" t="s">
        <v>1340</v>
      </c>
      <c r="X1" s="146" t="s">
        <v>1339</v>
      </c>
      <c r="Y1" s="133" t="s">
        <v>1334</v>
      </c>
      <c r="Z1" s="134" t="s">
        <v>1331</v>
      </c>
      <c r="AA1" s="134" t="s">
        <v>1332</v>
      </c>
      <c r="AB1" s="135" t="s">
        <v>1338</v>
      </c>
      <c r="AC1" s="154" t="s">
        <v>812</v>
      </c>
      <c r="AD1" s="137" t="s">
        <v>823</v>
      </c>
      <c r="AE1" s="139" t="s">
        <v>825</v>
      </c>
      <c r="AF1" s="140" t="s">
        <v>826</v>
      </c>
      <c r="AG1" s="140" t="s">
        <v>827</v>
      </c>
      <c r="AH1" s="140" t="s">
        <v>828</v>
      </c>
      <c r="AI1" s="141" t="s">
        <v>1327</v>
      </c>
      <c r="AJ1" s="138" t="s">
        <v>831</v>
      </c>
      <c r="AK1" s="142" t="s">
        <v>1106</v>
      </c>
      <c r="AL1" s="142" t="s">
        <v>1092</v>
      </c>
      <c r="AM1" s="142" t="s">
        <v>1093</v>
      </c>
      <c r="AN1" s="142" t="s">
        <v>1094</v>
      </c>
      <c r="AO1" s="142" t="s">
        <v>1095</v>
      </c>
      <c r="AP1" s="142" t="s">
        <v>1265</v>
      </c>
      <c r="AQ1" s="143" t="s">
        <v>1240</v>
      </c>
    </row>
    <row r="2" spans="1:43" x14ac:dyDescent="0.25">
      <c r="A2" s="173" t="s">
        <v>1343</v>
      </c>
      <c r="B2" s="174"/>
      <c r="C2" s="175"/>
      <c r="D2" s="174" t="s">
        <v>1358</v>
      </c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6"/>
      <c r="T2" s="176"/>
      <c r="U2" s="177"/>
      <c r="V2" s="176"/>
      <c r="W2" s="176"/>
      <c r="X2" s="177"/>
      <c r="Y2" s="174"/>
      <c r="Z2" s="176"/>
      <c r="AA2" s="176"/>
      <c r="AB2" s="177"/>
      <c r="AC2" s="174"/>
      <c r="AD2" s="174"/>
      <c r="AE2" s="174"/>
      <c r="AF2" s="174"/>
      <c r="AG2" s="174"/>
      <c r="AH2" s="174"/>
      <c r="AI2" s="176"/>
      <c r="AJ2" s="176"/>
      <c r="AK2" s="174"/>
      <c r="AL2" s="174"/>
      <c r="AM2" s="174"/>
      <c r="AN2" s="174"/>
      <c r="AO2" s="174"/>
      <c r="AP2" s="174"/>
      <c r="AQ2" s="178"/>
    </row>
    <row r="3" spans="1:43" x14ac:dyDescent="0.25">
      <c r="A3" s="157" t="s">
        <v>1232</v>
      </c>
      <c r="B3" s="132"/>
      <c r="C3" s="131" t="s">
        <v>1287</v>
      </c>
      <c r="D3" s="120" t="s">
        <v>1290</v>
      </c>
      <c r="E3" s="120">
        <v>200</v>
      </c>
      <c r="F3" s="120" t="s">
        <v>832</v>
      </c>
      <c r="G3" s="121">
        <v>550</v>
      </c>
      <c r="H3" s="123">
        <v>450</v>
      </c>
      <c r="I3" s="121">
        <f>H3*$E3</f>
        <v>90000</v>
      </c>
      <c r="J3" s="123">
        <v>600</v>
      </c>
      <c r="K3" s="121">
        <f>J3*$E3</f>
        <v>120000</v>
      </c>
      <c r="L3" s="123">
        <v>700</v>
      </c>
      <c r="M3" s="121">
        <f>L3*$E3</f>
        <v>140000</v>
      </c>
      <c r="N3" s="123">
        <v>400</v>
      </c>
      <c r="O3" s="121">
        <f>N3*$E3</f>
        <v>80000</v>
      </c>
      <c r="P3" s="123">
        <v>400</v>
      </c>
      <c r="Q3" s="121">
        <f>P3*$E3</f>
        <v>80000</v>
      </c>
      <c r="R3" s="123">
        <v>1</v>
      </c>
      <c r="S3" s="121">
        <f>IF(R3=1,H3,IF(R3=2,J3,IF(R3=3,L3,IF(R3=4,N3,IF(R3=5,P3,"fejl")))))</f>
        <v>450</v>
      </c>
      <c r="T3" s="121">
        <f>IFERROR(S3*E3,0)</f>
        <v>90000</v>
      </c>
      <c r="U3" s="124">
        <f>IFERROR(T3/G3,0)</f>
        <v>163.63636363636363</v>
      </c>
      <c r="V3" s="123">
        <f>IFERROR(SUM(H3,J3,L3,N3,P3)/SUM(IF(H3&lt;&gt;0,1,0),IF(J3&lt;&gt;0,1,0),IF(L3&lt;&gt;0,1,0),IF(N3&lt;&gt;0,1,0),IF(P3&lt;&gt;0,1,0)),0)</f>
        <v>510</v>
      </c>
      <c r="W3" s="121">
        <f>IFERROR(V3*E3,0)</f>
        <v>102000</v>
      </c>
      <c r="X3" s="124">
        <f>IFERROR(W3/G3,0)</f>
        <v>185.45454545454547</v>
      </c>
      <c r="Y3" s="123">
        <v>5</v>
      </c>
      <c r="Z3" s="122">
        <f>IF(Y3=1,H3,IF(Y3=2,J3,IF(Y3=3,L3,IF(Y3=4,N3,IF(Y3=5,P3,"fejl")))))</f>
        <v>400</v>
      </c>
      <c r="AA3" s="122">
        <f>IFERROR(Z3*E3,0)</f>
        <v>80000</v>
      </c>
      <c r="AB3" s="125">
        <f>IFERROR(AA3/G3,0)</f>
        <v>145.45454545454547</v>
      </c>
      <c r="AC3" s="158" t="s">
        <v>1364</v>
      </c>
      <c r="AD3" s="126">
        <v>116.3</v>
      </c>
      <c r="AE3" s="127">
        <v>45658</v>
      </c>
      <c r="AF3" s="4" t="str" cm="1">
        <f t="array" ref="AF3">_xlfn.XLOOKUP($AH3,_xlfn.ANCHORARRAY(Xlookup_back!$F$3),Xlookup_back!$D$3:$D$87)</f>
        <v>D. Services - Installationer</v>
      </c>
      <c r="AG3" s="4" t="str" cm="1">
        <f t="array" ref="AG3">_xlfn.XLOOKUP($AH3,_xlfn.ANCHORARRAY(Xlookup_back!$F$3),Xlookup_back!$E$3:$E$87)</f>
        <v>D10. Conveying Systems - Transportanlæg Systemer</v>
      </c>
      <c r="AH3" s="120" t="s">
        <v>1303</v>
      </c>
      <c r="AI3" s="120" t="str">
        <f>IFERROR(VLOOKUP(AH3,Central_classifikation!$D$4:$F$408,3,FALSE),IFERROR(VLOOKUP(AG3,Central_classifikation!D:F,3,FALSE),IFERROR(VLOOKUP(AF3,Central_classifikation!D:F,3,FALSE),"-")))</f>
        <v>D. El installationer</v>
      </c>
      <c r="AJ3" s="120">
        <f>COUNTIF(D:D,D3)</f>
        <v>1</v>
      </c>
      <c r="AK3" s="120" t="s">
        <v>1292</v>
      </c>
      <c r="AL3" s="120" t="s">
        <v>1293</v>
      </c>
      <c r="AM3" s="120" t="s">
        <v>1294</v>
      </c>
      <c r="AN3" s="120" t="s">
        <v>1295</v>
      </c>
      <c r="AO3" s="120" t="s">
        <v>1296</v>
      </c>
      <c r="AP3" s="120" t="s">
        <v>1286</v>
      </c>
      <c r="AQ3" s="128"/>
    </row>
    <row r="4" spans="1:43" x14ac:dyDescent="0.25">
      <c r="A4" s="157" t="s">
        <v>1233</v>
      </c>
      <c r="B4" s="132"/>
      <c r="C4" s="131" t="s">
        <v>1287</v>
      </c>
      <c r="D4" s="120" t="s">
        <v>1297</v>
      </c>
      <c r="E4" s="120">
        <v>500</v>
      </c>
      <c r="F4" s="120" t="s">
        <v>832</v>
      </c>
      <c r="G4" s="121">
        <v>550</v>
      </c>
      <c r="H4" s="123">
        <v>15</v>
      </c>
      <c r="I4" s="121">
        <f>H4*$E4</f>
        <v>7500</v>
      </c>
      <c r="J4" s="123">
        <v>12</v>
      </c>
      <c r="K4" s="121">
        <f>J4*$E4</f>
        <v>6000</v>
      </c>
      <c r="L4" s="123">
        <v>60</v>
      </c>
      <c r="M4" s="121">
        <f>L4*$E4</f>
        <v>30000</v>
      </c>
      <c r="N4" s="123">
        <v>45</v>
      </c>
      <c r="O4" s="121">
        <f>N4*$E4</f>
        <v>22500</v>
      </c>
      <c r="P4" s="123">
        <v>15</v>
      </c>
      <c r="Q4" s="121">
        <f>P4*$E4</f>
        <v>7500</v>
      </c>
      <c r="R4" s="123">
        <v>1</v>
      </c>
      <c r="S4" s="121">
        <f t="shared" ref="S4:S6" si="0">IF(R4=1,H4,IF(R4=2,J4,IF(R4=3,L4,IF(R4=4,N4,IF(R4=5,P4,"fejl")))))</f>
        <v>15</v>
      </c>
      <c r="T4" s="121">
        <f t="shared" ref="T4:T6" si="1">IFERROR(S4*E4,0)</f>
        <v>7500</v>
      </c>
      <c r="U4" s="124">
        <f t="shared" ref="U4:U6" si="2">IFERROR(T4/G4,0)</f>
        <v>13.636363636363637</v>
      </c>
      <c r="V4" s="123">
        <f>IFERROR(SUM(H4,J4,L4,N4,P4)/SUM(IF(H4&lt;&gt;0,1,0),IF(J4&lt;&gt;0,1,0),IF(L4&lt;&gt;0,1,0),IF(N4&lt;&gt;0,1,0),IF(P4&lt;&gt;0,1,0)),0)</f>
        <v>29.4</v>
      </c>
      <c r="W4" s="121">
        <f>IFERROR(V4*E4,0)</f>
        <v>14700</v>
      </c>
      <c r="X4" s="124">
        <f>IFERROR(W4/G4,0)</f>
        <v>26.727272727272727</v>
      </c>
      <c r="Y4" s="123">
        <v>3</v>
      </c>
      <c r="Z4" s="122">
        <f t="shared" ref="Z4:Z6" si="3">IF(Y4=1,H4,IF(Y4=2,J4,IF(Y4=3,L4,IF(Y4=4,N4,IF(Y4=5,P4,"fejl")))))</f>
        <v>60</v>
      </c>
      <c r="AA4" s="122">
        <f>IFERROR(Z4*E4,0)</f>
        <v>30000</v>
      </c>
      <c r="AB4" s="125">
        <f>IFERROR(AA4/G4,0)</f>
        <v>54.545454545454547</v>
      </c>
      <c r="AC4" s="158" t="s">
        <v>1364</v>
      </c>
      <c r="AD4" s="126">
        <v>116.3</v>
      </c>
      <c r="AE4" s="127">
        <v>45658</v>
      </c>
      <c r="AF4" s="4" t="str" cm="1">
        <f t="array" ref="AF4">_xlfn.XLOOKUP($AH4,_xlfn.ANCHORARRAY(Xlookup_back!$F$3),Xlookup_back!$D$3:$D$87)</f>
        <v>G. Building Sitework - Grund &amp; Terræn arbejder</v>
      </c>
      <c r="AG4" s="4" t="str" cm="1">
        <f t="array" ref="AG4">_xlfn.XLOOKUP($AH4,_xlfn.ANCHORARRAY(Xlookup_back!$F$3),Xlookup_back!$E$3:$E$87)</f>
        <v>G30. Site Civil / Mechanical Utilities - Grund Bygge / VVS installationer</v>
      </c>
      <c r="AH4" s="120" t="s">
        <v>1322</v>
      </c>
      <c r="AI4" s="120" t="str">
        <f>IFERROR(VLOOKUP(AH4,Central_classifikation!$D$4:$F$408,3,FALSE),IFERROR(VLOOKUP(AG4,Central_classifikation!D:F,3,FALSE),IFERROR(VLOOKUP(AF4,Central_classifikation!D:F,3,FALSE),"-")))</f>
        <v>G. Building Sitework - Grund &amp; Terræn arbejder</v>
      </c>
      <c r="AJ4" s="120">
        <f>COUNTIF(D:D,D4)</f>
        <v>1</v>
      </c>
      <c r="AK4" s="120" t="s">
        <v>1292</v>
      </c>
      <c r="AL4" s="120" t="s">
        <v>1293</v>
      </c>
      <c r="AM4" s="120" t="s">
        <v>1294</v>
      </c>
      <c r="AN4" s="120" t="s">
        <v>1295</v>
      </c>
      <c r="AO4" s="120" t="s">
        <v>1296</v>
      </c>
      <c r="AP4" s="120" t="s">
        <v>1286</v>
      </c>
      <c r="AQ4" s="128"/>
    </row>
    <row r="5" spans="1:43" x14ac:dyDescent="0.25">
      <c r="A5" s="157" t="s">
        <v>1234</v>
      </c>
      <c r="B5" s="132"/>
      <c r="C5" s="131" t="s">
        <v>1287</v>
      </c>
      <c r="D5" s="120" t="s">
        <v>1291</v>
      </c>
      <c r="E5" s="120">
        <v>20</v>
      </c>
      <c r="F5" s="120" t="s">
        <v>1091</v>
      </c>
      <c r="G5" s="121">
        <v>550</v>
      </c>
      <c r="H5" s="123">
        <v>5000</v>
      </c>
      <c r="I5" s="121">
        <f>H5*$E5</f>
        <v>100000</v>
      </c>
      <c r="J5" s="123">
        <v>4500</v>
      </c>
      <c r="K5" s="121">
        <f>J5*$E5</f>
        <v>90000</v>
      </c>
      <c r="L5" s="123">
        <v>5000</v>
      </c>
      <c r="M5" s="121">
        <f>L5*$E5</f>
        <v>100000</v>
      </c>
      <c r="N5" s="123">
        <v>0</v>
      </c>
      <c r="O5" s="121">
        <v>0</v>
      </c>
      <c r="P5" s="123">
        <v>0</v>
      </c>
      <c r="Q5" s="121">
        <v>0</v>
      </c>
      <c r="R5" s="123">
        <v>1</v>
      </c>
      <c r="S5" s="121">
        <f t="shared" si="0"/>
        <v>5000</v>
      </c>
      <c r="T5" s="121">
        <f t="shared" si="1"/>
        <v>100000</v>
      </c>
      <c r="U5" s="124">
        <f t="shared" si="2"/>
        <v>181.81818181818181</v>
      </c>
      <c r="V5" s="123">
        <f>IFERROR(SUM(H5,J5,L5,N5,P5)/SUM(IF(H5&lt;&gt;0,1,0),IF(J5&lt;&gt;0,1,0),IF(L5&lt;&gt;0,1,0),IF(N5&lt;&gt;0,1,0),IF(P5&lt;&gt;0,1,0)),0)</f>
        <v>4833.333333333333</v>
      </c>
      <c r="W5" s="121">
        <f>IFERROR(V5*E5,0)</f>
        <v>96666.666666666657</v>
      </c>
      <c r="X5" s="124">
        <f>IFERROR(W5/G5,0)</f>
        <v>175.75757575757575</v>
      </c>
      <c r="Y5" s="123">
        <v>3</v>
      </c>
      <c r="Z5" s="122">
        <f t="shared" si="3"/>
        <v>5000</v>
      </c>
      <c r="AA5" s="122">
        <f>IFERROR(Z5*E5,0)</f>
        <v>100000</v>
      </c>
      <c r="AB5" s="125">
        <f>IFERROR(AA5/G5,0)</f>
        <v>181.81818181818181</v>
      </c>
      <c r="AC5" s="158" t="s">
        <v>1364</v>
      </c>
      <c r="AD5" s="126">
        <v>116.3</v>
      </c>
      <c r="AE5" s="127">
        <v>45658</v>
      </c>
      <c r="AF5" s="4" t="str" cm="1">
        <f t="array" ref="AF5">_xlfn.XLOOKUP($AH5,_xlfn.ANCHORARRAY(Xlookup_back!$F$3),Xlookup_back!$D$3:$D$87)</f>
        <v>A. Substructure - Bygningsbasis</v>
      </c>
      <c r="AG5" s="4" t="str" cm="1">
        <f t="array" ref="AG5">_xlfn.XLOOKUP($AH5,_xlfn.ANCHORARRAY(Xlookup_back!$F$3),Xlookup_back!$E$3:$E$87)</f>
        <v>A10. Foundations - Fundamenter</v>
      </c>
      <c r="AH5" s="120" t="s">
        <v>858</v>
      </c>
      <c r="AI5" s="120" t="str">
        <f>IFERROR(VLOOKUP(AH5,Central_classifikation!$D$4:$F$408,3,FALSE),IFERROR(VLOOKUP(AG5,Central_classifikation!D:F,3,FALSE),IFERROR(VLOOKUP(AF5,Central_classifikation!D:F,3,FALSE),"-")))</f>
        <v>A. Substructure - Bygningsbasis</v>
      </c>
      <c r="AJ5" s="120">
        <f>COUNTIF(D:D,D5)</f>
        <v>1</v>
      </c>
      <c r="AK5" s="120" t="s">
        <v>1292</v>
      </c>
      <c r="AL5" s="120" t="s">
        <v>1293</v>
      </c>
      <c r="AM5" s="120" t="s">
        <v>1294</v>
      </c>
      <c r="AN5" s="120" t="s">
        <v>1295</v>
      </c>
      <c r="AO5" s="120" t="s">
        <v>1296</v>
      </c>
      <c r="AP5" s="120" t="s">
        <v>1286</v>
      </c>
      <c r="AQ5" s="128"/>
    </row>
    <row r="6" spans="1:43" x14ac:dyDescent="0.25">
      <c r="A6" s="159" t="s">
        <v>1235</v>
      </c>
      <c r="B6" s="172"/>
      <c r="C6" s="160"/>
      <c r="D6" s="161"/>
      <c r="E6" s="161"/>
      <c r="F6" s="161"/>
      <c r="G6" s="162"/>
      <c r="H6" s="163"/>
      <c r="I6" s="162"/>
      <c r="J6" s="163"/>
      <c r="K6" s="162"/>
      <c r="L6" s="163"/>
      <c r="M6" s="162"/>
      <c r="N6" s="163"/>
      <c r="O6" s="162"/>
      <c r="P6" s="163"/>
      <c r="Q6" s="162"/>
      <c r="R6" s="163">
        <v>1</v>
      </c>
      <c r="S6" s="121">
        <f t="shared" si="0"/>
        <v>0</v>
      </c>
      <c r="T6" s="121">
        <f t="shared" si="1"/>
        <v>0</v>
      </c>
      <c r="U6" s="124">
        <f t="shared" si="2"/>
        <v>0</v>
      </c>
      <c r="V6" s="123">
        <f>IFERROR(SUM(H6,J6,L6,N6,P6)/SUM(IF(H6&lt;&gt;0,1,0),IF(J6&lt;&gt;0,1,0),IF(L6&lt;&gt;0,1,0),IF(N6&lt;&gt;0,1,0),IF(P6&lt;&gt;0,1,0)),0)</f>
        <v>0</v>
      </c>
      <c r="W6" s="162">
        <f>IFERROR(V6*E6,0)</f>
        <v>0</v>
      </c>
      <c r="X6" s="164">
        <f>IFERROR(W6/G6,0)</f>
        <v>0</v>
      </c>
      <c r="Y6" s="163">
        <v>3</v>
      </c>
      <c r="Z6" s="122">
        <f t="shared" si="3"/>
        <v>0</v>
      </c>
      <c r="AA6" s="165">
        <f>IFERROR(Z6*E6,0)</f>
        <v>0</v>
      </c>
      <c r="AB6" s="166">
        <f>IFERROR(AA6/G6,0)</f>
        <v>0</v>
      </c>
      <c r="AC6" s="167" t="s">
        <v>1364</v>
      </c>
      <c r="AD6" s="168">
        <v>116.3</v>
      </c>
      <c r="AE6" s="169">
        <v>45658</v>
      </c>
      <c r="AF6" s="192" t="str" cm="1">
        <f t="array" ref="AF6">_xlfn.XLOOKUP($AH6,_xlfn.ANCHORARRAY(Xlookup_back!$F$3),Xlookup_back!$D$3:$D$87)</f>
        <v>A. Substructure - Bygningsbasis</v>
      </c>
      <c r="AG6" s="192" t="str" cm="1">
        <f t="array" ref="AG6">_xlfn.XLOOKUP($AH6,_xlfn.ANCHORARRAY(Xlookup_back!$F$3),Xlookup_back!$E$3:$E$87)</f>
        <v>A10. Foundations - Fundamenter</v>
      </c>
      <c r="AH6" s="179" t="s">
        <v>858</v>
      </c>
      <c r="AI6" s="161" t="str">
        <f>IFERROR(VLOOKUP(AH6,Central_classifikation!$D$4:$F$408,3,FALSE),IFERROR(VLOOKUP(AG6,Central_classifikation!D:F,3,FALSE),IFERROR(VLOOKUP(AF6,Central_classifikation!D:F,3,FALSE),"-")))</f>
        <v>A. Substructure - Bygningsbasis</v>
      </c>
      <c r="AJ6" s="161">
        <f>COUNTIF(D:D,D6)</f>
        <v>0</v>
      </c>
      <c r="AK6" s="161" t="s">
        <v>1292</v>
      </c>
      <c r="AL6" s="161" t="s">
        <v>1293</v>
      </c>
      <c r="AM6" s="161" t="s">
        <v>1294</v>
      </c>
      <c r="AN6" s="161" t="s">
        <v>1295</v>
      </c>
      <c r="AO6" s="161" t="s">
        <v>1296</v>
      </c>
      <c r="AP6" s="179" t="s">
        <v>1285</v>
      </c>
      <c r="AQ6" s="170"/>
    </row>
    <row r="7" spans="1:43" ht="13.5" customHeight="1" x14ac:dyDescent="0.25"/>
    <row r="8" spans="1:43" x14ac:dyDescent="0.25">
      <c r="A8" s="129"/>
      <c r="B8" s="129"/>
      <c r="C8" s="130" t="s">
        <v>1341</v>
      </c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55"/>
      <c r="T8" s="155"/>
      <c r="U8" s="156"/>
      <c r="V8" s="155"/>
      <c r="W8" s="155"/>
      <c r="X8" s="156"/>
      <c r="Y8" s="130"/>
      <c r="Z8" s="155"/>
      <c r="AA8" s="155"/>
      <c r="AB8" s="156"/>
      <c r="AC8" s="130"/>
      <c r="AD8" s="130"/>
      <c r="AE8" s="130"/>
      <c r="AF8" s="174"/>
      <c r="AG8" s="174"/>
      <c r="AH8" s="130"/>
      <c r="AI8" s="155"/>
      <c r="AJ8" s="155"/>
      <c r="AK8" s="130"/>
      <c r="AL8" s="130"/>
      <c r="AM8" s="130"/>
      <c r="AN8" s="130"/>
      <c r="AO8" s="130"/>
      <c r="AP8" s="130"/>
      <c r="AQ8" s="130"/>
    </row>
    <row r="9" spans="1:43" x14ac:dyDescent="0.25">
      <c r="C9" s="110" t="s">
        <v>1330</v>
      </c>
      <c r="H9" s="83" t="s">
        <v>1350</v>
      </c>
      <c r="R9" t="s">
        <v>1335</v>
      </c>
      <c r="AF9" t="s">
        <v>1348</v>
      </c>
    </row>
    <row r="10" spans="1:43" x14ac:dyDescent="0.25">
      <c r="R10" t="s">
        <v>1336</v>
      </c>
    </row>
    <row r="11" spans="1:43" x14ac:dyDescent="0.25">
      <c r="C11" s="60" t="s">
        <v>1345</v>
      </c>
      <c r="O11" t="str">
        <f>""</f>
        <v/>
      </c>
      <c r="R11" t="s">
        <v>1344</v>
      </c>
      <c r="AJ11" s="191" t="s">
        <v>1342</v>
      </c>
    </row>
    <row r="12" spans="1:43" x14ac:dyDescent="0.25">
      <c r="A12" s="153" t="s">
        <v>1346</v>
      </c>
      <c r="B12" s="153"/>
      <c r="C12" s="194" t="s">
        <v>1353</v>
      </c>
      <c r="D12" s="194"/>
      <c r="E12" s="194"/>
      <c r="F12" s="194"/>
      <c r="G12" s="194"/>
      <c r="H12" s="194"/>
    </row>
    <row r="13" spans="1:43" x14ac:dyDescent="0.25">
      <c r="A13" s="153" t="s">
        <v>1346</v>
      </c>
      <c r="B13" s="153"/>
      <c r="C13" s="194" t="s">
        <v>1347</v>
      </c>
      <c r="D13" s="194"/>
      <c r="E13" s="194"/>
      <c r="F13" s="194"/>
      <c r="G13" s="194"/>
      <c r="H13" s="194"/>
    </row>
    <row r="14" spans="1:43" ht="31.5" customHeight="1" x14ac:dyDescent="0.25">
      <c r="A14" s="153" t="s">
        <v>1346</v>
      </c>
      <c r="B14" s="153"/>
      <c r="C14" s="194" t="s">
        <v>1356</v>
      </c>
      <c r="D14" s="194"/>
      <c r="E14" s="194"/>
      <c r="F14" s="194"/>
      <c r="G14" s="194"/>
      <c r="H14" s="194"/>
      <c r="U14"/>
      <c r="X14"/>
      <c r="AB14"/>
    </row>
    <row r="15" spans="1:43" ht="30.75" customHeight="1" x14ac:dyDescent="0.25">
      <c r="A15" s="153" t="s">
        <v>1346</v>
      </c>
      <c r="B15" s="153"/>
      <c r="C15" s="194" t="s">
        <v>1355</v>
      </c>
      <c r="D15" s="194"/>
      <c r="E15" s="194"/>
      <c r="F15" s="194"/>
      <c r="G15" s="194"/>
      <c r="H15" s="194"/>
    </row>
    <row r="16" spans="1:43" ht="14.25" customHeight="1" x14ac:dyDescent="0.25">
      <c r="A16" s="153" t="s">
        <v>1346</v>
      </c>
      <c r="B16" s="153"/>
      <c r="C16" s="194" t="s">
        <v>1354</v>
      </c>
      <c r="D16" s="194"/>
      <c r="E16" s="194"/>
      <c r="F16" s="194"/>
      <c r="G16" s="194"/>
      <c r="H16" s="194"/>
    </row>
    <row r="17" spans="1:8" ht="47.25" customHeight="1" x14ac:dyDescent="0.25">
      <c r="A17" s="153" t="s">
        <v>1346</v>
      </c>
      <c r="B17" s="153"/>
      <c r="C17" s="194" t="s">
        <v>1351</v>
      </c>
      <c r="D17" s="194"/>
      <c r="E17" s="194"/>
      <c r="F17" s="194"/>
      <c r="G17" s="194"/>
      <c r="H17" s="194"/>
    </row>
    <row r="18" spans="1:8" ht="29.25" customHeight="1" x14ac:dyDescent="0.25">
      <c r="A18" s="153" t="s">
        <v>1346</v>
      </c>
      <c r="B18" s="153"/>
      <c r="C18" s="194" t="s">
        <v>1349</v>
      </c>
      <c r="D18" s="194"/>
      <c r="E18" s="194"/>
      <c r="F18" s="194"/>
      <c r="G18" s="194"/>
      <c r="H18" s="194"/>
    </row>
    <row r="19" spans="1:8" x14ac:dyDescent="0.25">
      <c r="A19" s="153" t="s">
        <v>1346</v>
      </c>
      <c r="B19" s="153"/>
      <c r="C19" s="194" t="s">
        <v>1352</v>
      </c>
      <c r="D19" s="194"/>
      <c r="E19" s="194"/>
      <c r="F19" s="194"/>
      <c r="G19" s="194"/>
      <c r="H19" s="194"/>
    </row>
    <row r="20" spans="1:8" x14ac:dyDescent="0.25">
      <c r="A20" s="153" t="s">
        <v>1346</v>
      </c>
      <c r="B20" s="153"/>
      <c r="C20" s="194" t="s">
        <v>1366</v>
      </c>
      <c r="D20" s="194"/>
      <c r="E20" s="194"/>
      <c r="F20" s="194"/>
      <c r="G20" s="194"/>
      <c r="H20" s="194"/>
    </row>
    <row r="21" spans="1:8" x14ac:dyDescent="0.25">
      <c r="A21" s="153" t="s">
        <v>1346</v>
      </c>
      <c r="B21" s="153"/>
      <c r="C21" s="195" t="s">
        <v>1357</v>
      </c>
      <c r="D21" s="195"/>
      <c r="E21" s="195"/>
      <c r="F21" s="195"/>
      <c r="G21" s="195"/>
      <c r="H21" s="195"/>
    </row>
    <row r="22" spans="1:8" ht="28.5" customHeight="1" x14ac:dyDescent="0.25">
      <c r="A22" s="153" t="s">
        <v>1346</v>
      </c>
      <c r="B22" s="153"/>
      <c r="C22" s="194" t="s">
        <v>1365</v>
      </c>
      <c r="D22" s="194"/>
      <c r="E22" s="194"/>
      <c r="F22" s="194"/>
      <c r="G22" s="194"/>
      <c r="H22" s="194"/>
    </row>
    <row r="23" spans="1:8" x14ac:dyDescent="0.25">
      <c r="A23" s="153"/>
      <c r="B23" s="153"/>
    </row>
  </sheetData>
  <mergeCells count="11">
    <mergeCell ref="C17:H17"/>
    <mergeCell ref="C12:H12"/>
    <mergeCell ref="C13:H13"/>
    <mergeCell ref="C14:H14"/>
    <mergeCell ref="C15:H15"/>
    <mergeCell ref="C16:H16"/>
    <mergeCell ref="C18:H18"/>
    <mergeCell ref="C19:H19"/>
    <mergeCell ref="C22:H22"/>
    <mergeCell ref="C20:H20"/>
    <mergeCell ref="C21:H21"/>
  </mergeCells>
  <conditionalFormatting sqref="A12:B23">
    <cfRule type="containsText" dxfId="4" priority="5" operator="containsText" text="no">
      <formula>NOT(ISERROR(SEARCH("no",A12)))</formula>
    </cfRule>
    <cfRule type="containsText" dxfId="3" priority="6" operator="containsText" text="yes">
      <formula>NOT(ISERROR(SEARCH("yes",A12)))</formula>
    </cfRule>
  </conditionalFormatting>
  <conditionalFormatting sqref="A3:AQ6">
    <cfRule type="expression" dxfId="2" priority="3">
      <formula>MOD(ROW(),2)</formula>
    </cfRule>
  </conditionalFormatting>
  <conditionalFormatting sqref="AJ3:AJ6">
    <cfRule type="cellIs" dxfId="1" priority="4" operator="greaterThan">
      <formula>1</formula>
    </cfRule>
  </conditionalFormatting>
  <conditionalFormatting sqref="AJ5:AJ6">
    <cfRule type="cellIs" dxfId="0" priority="1" operator="greaterThan">
      <formula>1</formula>
    </cfRule>
  </conditionalFormatting>
  <dataValidations count="3">
    <dataValidation type="list" allowBlank="1" showInputMessage="1" showErrorMessage="1" sqref="AP3:AP6" xr:uid="{12DE0DFE-20C3-44BA-8385-444D1133E5C0}">
      <formula1>"no,yes"</formula1>
    </dataValidation>
    <dataValidation type="list" allowBlank="1" showInputMessage="1" showErrorMessage="1" sqref="Y3:Y6 R3:R6" xr:uid="{C28B7803-E2B7-4153-B871-21650003C64B}">
      <formula1>"1,2,3,4,5"</formula1>
    </dataValidation>
    <dataValidation type="list" allowBlank="1" showInputMessage="1" showErrorMessage="1" sqref="A12:B23" xr:uid="{567F7AE8-4AB4-4FA7-A7BE-B2DD79061B32}">
      <formula1>"Yes,No"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2630EA-4F5B-427D-B511-17AA7FE7D850}">
          <x14:formula1>
            <xm:f>'Central template'!$D$3:$D$87</xm:f>
          </x14:formula1>
          <xm:sqref>AH3:AH6</xm:sqref>
        </x14:dataValidation>
        <x14:dataValidation type="list" allowBlank="1" showInputMessage="1" showErrorMessage="1" xr:uid="{09085EF1-CAEF-47AA-A670-ECF4211EEF6C}">
          <x14:formula1>
            <xm:f>Xlookup_back!$A$3:$A$10</xm:f>
          </x14:formula1>
          <xm:sqref>AF3:AF6</xm:sqref>
        </x14:dataValidation>
        <x14:dataValidation type="list" allowBlank="1" showInputMessage="1" showErrorMessage="1" xr:uid="{87188A14-BA20-45C5-B439-B10303BEE342}">
          <x14:formula1>
            <xm:f>Niveau_2!$G$416:$G$441</xm:f>
          </x14:formula1>
          <xm:sqref>AG3:AG6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4496-F0AA-498D-B242-36EE0BF64369}">
  <sheetPr codeName="Ark9"/>
  <dimension ref="B1:D406"/>
  <sheetViews>
    <sheetView workbookViewId="0"/>
  </sheetViews>
  <sheetFormatPr defaultColWidth="9.140625" defaultRowHeight="12.75" outlineLevelRow="4" x14ac:dyDescent="0.2"/>
  <cols>
    <col min="1" max="1" width="9.140625" style="4"/>
    <col min="2" max="2" width="28" style="4" customWidth="1"/>
    <col min="3" max="3" width="43.7109375" style="4" customWidth="1"/>
    <col min="4" max="4" width="61.28515625" style="4" customWidth="1"/>
    <col min="5" max="16384" width="9.140625" style="4"/>
  </cols>
  <sheetData>
    <row r="1" spans="2:4" s="6" customFormat="1" ht="45" customHeight="1" x14ac:dyDescent="0.2">
      <c r="B1" s="118" t="s">
        <v>0</v>
      </c>
      <c r="C1" s="52"/>
      <c r="D1" s="52"/>
    </row>
    <row r="2" spans="2:4" ht="30" customHeight="1" x14ac:dyDescent="0.2">
      <c r="B2" s="115" t="s">
        <v>826</v>
      </c>
      <c r="C2" s="116" t="s">
        <v>827</v>
      </c>
      <c r="D2" s="117" t="s">
        <v>828</v>
      </c>
    </row>
    <row r="3" spans="2:4" ht="30" customHeight="1" outlineLevel="1" x14ac:dyDescent="0.2">
      <c r="B3" s="111" t="s">
        <v>851</v>
      </c>
      <c r="C3" s="108" t="s">
        <v>852</v>
      </c>
      <c r="D3" s="112" t="s">
        <v>853</v>
      </c>
    </row>
    <row r="4" spans="2:4" ht="30" customHeight="1" outlineLevel="2" x14ac:dyDescent="0.2">
      <c r="B4" s="111" t="s">
        <v>851</v>
      </c>
      <c r="C4" s="108" t="s">
        <v>852</v>
      </c>
      <c r="D4" s="112" t="s">
        <v>1204</v>
      </c>
    </row>
    <row r="5" spans="2:4" ht="30" customHeight="1" outlineLevel="3" x14ac:dyDescent="0.2">
      <c r="B5" s="111" t="s">
        <v>851</v>
      </c>
      <c r="C5" s="108" t="s">
        <v>852</v>
      </c>
      <c r="D5" s="113" t="s">
        <v>858</v>
      </c>
    </row>
    <row r="6" spans="2:4" ht="30" customHeight="1" outlineLevel="3" x14ac:dyDescent="0.2">
      <c r="B6" s="111" t="s">
        <v>851</v>
      </c>
      <c r="C6" s="108" t="s">
        <v>867</v>
      </c>
      <c r="D6" s="114" t="s">
        <v>1298</v>
      </c>
    </row>
    <row r="7" spans="2:4" ht="30" customHeight="1" outlineLevel="3" x14ac:dyDescent="0.2">
      <c r="B7" s="111" t="s">
        <v>851</v>
      </c>
      <c r="C7" s="108" t="s">
        <v>867</v>
      </c>
      <c r="D7" s="112" t="s">
        <v>868</v>
      </c>
    </row>
    <row r="8" spans="2:4" ht="30" customHeight="1" outlineLevel="3" x14ac:dyDescent="0.2">
      <c r="B8" s="111" t="s">
        <v>870</v>
      </c>
      <c r="C8" s="108" t="s">
        <v>874</v>
      </c>
      <c r="D8" s="112" t="s">
        <v>875</v>
      </c>
    </row>
    <row r="9" spans="2:4" ht="30" customHeight="1" outlineLevel="3" x14ac:dyDescent="0.2">
      <c r="B9" s="111" t="s">
        <v>870</v>
      </c>
      <c r="C9" s="108" t="s">
        <v>874</v>
      </c>
      <c r="D9" s="112" t="s">
        <v>1155</v>
      </c>
    </row>
    <row r="10" spans="2:4" ht="30" customHeight="1" outlineLevel="3" x14ac:dyDescent="0.2">
      <c r="B10" s="111" t="s">
        <v>870</v>
      </c>
      <c r="C10" s="108" t="s">
        <v>881</v>
      </c>
      <c r="D10" s="112" t="s">
        <v>882</v>
      </c>
    </row>
    <row r="11" spans="2:4" ht="30" customHeight="1" outlineLevel="2" x14ac:dyDescent="0.2">
      <c r="B11" s="111" t="s">
        <v>870</v>
      </c>
      <c r="C11" s="108" t="s">
        <v>881</v>
      </c>
      <c r="D11" s="112" t="s">
        <v>1081</v>
      </c>
    </row>
    <row r="12" spans="2:4" ht="30" customHeight="1" outlineLevel="2" x14ac:dyDescent="0.2">
      <c r="B12" s="111" t="s">
        <v>870</v>
      </c>
      <c r="C12" s="108" t="s">
        <v>881</v>
      </c>
      <c r="D12" s="112" t="s">
        <v>905</v>
      </c>
    </row>
    <row r="13" spans="2:4" ht="30" customHeight="1" outlineLevel="3" x14ac:dyDescent="0.2">
      <c r="B13" s="111" t="s">
        <v>870</v>
      </c>
      <c r="C13" s="108" t="s">
        <v>908</v>
      </c>
      <c r="D13" s="112" t="s">
        <v>909</v>
      </c>
    </row>
    <row r="14" spans="2:4" ht="30" customHeight="1" outlineLevel="3" x14ac:dyDescent="0.2">
      <c r="B14" s="111" t="s">
        <v>870</v>
      </c>
      <c r="C14" s="108" t="s">
        <v>908</v>
      </c>
      <c r="D14" s="112" t="s">
        <v>910</v>
      </c>
    </row>
    <row r="15" spans="2:4" ht="30" customHeight="1" outlineLevel="3" x14ac:dyDescent="0.2">
      <c r="B15" s="111" t="s">
        <v>870</v>
      </c>
      <c r="C15" s="108" t="s">
        <v>871</v>
      </c>
      <c r="D15" s="113" t="s">
        <v>873</v>
      </c>
    </row>
    <row r="16" spans="2:4" ht="30" customHeight="1" outlineLevel="3" x14ac:dyDescent="0.2">
      <c r="B16" s="111" t="s">
        <v>870</v>
      </c>
      <c r="C16" s="108" t="s">
        <v>871</v>
      </c>
      <c r="D16" s="113" t="s">
        <v>880</v>
      </c>
    </row>
    <row r="17" spans="2:4" ht="30" customHeight="1" outlineLevel="1" x14ac:dyDescent="0.2">
      <c r="B17" s="111" t="s">
        <v>870</v>
      </c>
      <c r="C17" s="108" t="s">
        <v>871</v>
      </c>
      <c r="D17" s="113" t="s">
        <v>894</v>
      </c>
    </row>
    <row r="18" spans="2:4" ht="30" customHeight="1" outlineLevel="2" x14ac:dyDescent="0.2">
      <c r="B18" s="111" t="s">
        <v>870</v>
      </c>
      <c r="C18" s="108" t="s">
        <v>871</v>
      </c>
      <c r="D18" s="113" t="s">
        <v>872</v>
      </c>
    </row>
    <row r="19" spans="2:4" ht="30" customHeight="1" outlineLevel="2" x14ac:dyDescent="0.2">
      <c r="B19" s="111" t="s">
        <v>870</v>
      </c>
      <c r="C19" s="108" t="s">
        <v>871</v>
      </c>
      <c r="D19" s="113" t="s">
        <v>1159</v>
      </c>
    </row>
    <row r="20" spans="2:4" ht="30" customHeight="1" outlineLevel="3" collapsed="1" x14ac:dyDescent="0.2">
      <c r="B20" s="111" t="s">
        <v>870</v>
      </c>
      <c r="C20" s="108" t="s">
        <v>871</v>
      </c>
      <c r="D20" s="113" t="s">
        <v>1222</v>
      </c>
    </row>
    <row r="21" spans="2:4" ht="30" customHeight="1" outlineLevel="3" x14ac:dyDescent="0.2">
      <c r="B21" s="111" t="s">
        <v>885</v>
      </c>
      <c r="C21" s="108" t="s">
        <v>912</v>
      </c>
      <c r="D21" s="112" t="s">
        <v>913</v>
      </c>
    </row>
    <row r="22" spans="2:4" ht="30" customHeight="1" outlineLevel="3" x14ac:dyDescent="0.2">
      <c r="B22" s="111" t="s">
        <v>885</v>
      </c>
      <c r="C22" s="108" t="s">
        <v>912</v>
      </c>
      <c r="D22" s="112" t="s">
        <v>918</v>
      </c>
    </row>
    <row r="23" spans="2:4" ht="30" customHeight="1" outlineLevel="3" x14ac:dyDescent="0.2">
      <c r="B23" s="111" t="s">
        <v>885</v>
      </c>
      <c r="C23" s="108" t="s">
        <v>912</v>
      </c>
      <c r="D23" s="112" t="s">
        <v>928</v>
      </c>
    </row>
    <row r="24" spans="2:4" ht="30" customHeight="1" outlineLevel="3" x14ac:dyDescent="0.2">
      <c r="B24" s="111" t="s">
        <v>885</v>
      </c>
      <c r="C24" s="108" t="s">
        <v>886</v>
      </c>
      <c r="D24" s="112" t="s">
        <v>887</v>
      </c>
    </row>
    <row r="25" spans="2:4" ht="30" customHeight="1" outlineLevel="3" x14ac:dyDescent="0.2">
      <c r="B25" s="111" t="s">
        <v>885</v>
      </c>
      <c r="C25" s="108" t="s">
        <v>886</v>
      </c>
      <c r="D25" s="112" t="s">
        <v>933</v>
      </c>
    </row>
    <row r="26" spans="2:4" ht="30" customHeight="1" outlineLevel="3" x14ac:dyDescent="0.2">
      <c r="B26" s="111" t="s">
        <v>885</v>
      </c>
      <c r="C26" s="108" t="s">
        <v>923</v>
      </c>
      <c r="D26" s="112" t="s">
        <v>924</v>
      </c>
    </row>
    <row r="27" spans="2:4" ht="30" customHeight="1" outlineLevel="3" x14ac:dyDescent="0.2">
      <c r="B27" s="111" t="s">
        <v>885</v>
      </c>
      <c r="C27" s="108" t="s">
        <v>923</v>
      </c>
      <c r="D27" s="112" t="s">
        <v>926</v>
      </c>
    </row>
    <row r="28" spans="2:4" ht="30" customHeight="1" outlineLevel="3" x14ac:dyDescent="0.2">
      <c r="B28" s="111" t="s">
        <v>885</v>
      </c>
      <c r="C28" s="108" t="s">
        <v>923</v>
      </c>
      <c r="D28" s="112" t="s">
        <v>937</v>
      </c>
    </row>
    <row r="29" spans="2:4" ht="30" customHeight="1" outlineLevel="3" x14ac:dyDescent="0.2">
      <c r="B29" s="111" t="s">
        <v>948</v>
      </c>
      <c r="C29" s="108" t="s">
        <v>977</v>
      </c>
      <c r="D29" s="112" t="s">
        <v>978</v>
      </c>
    </row>
    <row r="30" spans="2:4" ht="30" customHeight="1" outlineLevel="3" x14ac:dyDescent="0.2">
      <c r="B30" s="111" t="s">
        <v>948</v>
      </c>
      <c r="C30" s="108" t="s">
        <v>977</v>
      </c>
      <c r="D30" s="112" t="s">
        <v>1303</v>
      </c>
    </row>
    <row r="31" spans="2:4" ht="30" customHeight="1" x14ac:dyDescent="0.2">
      <c r="B31" s="111" t="s">
        <v>948</v>
      </c>
      <c r="C31" s="108" t="s">
        <v>977</v>
      </c>
      <c r="D31" s="112" t="s">
        <v>981</v>
      </c>
    </row>
    <row r="32" spans="2:4" ht="30" customHeight="1" outlineLevel="1" x14ac:dyDescent="0.2">
      <c r="B32" s="111" t="s">
        <v>948</v>
      </c>
      <c r="C32" s="108" t="s">
        <v>997</v>
      </c>
      <c r="D32" s="112" t="s">
        <v>1002</v>
      </c>
    </row>
    <row r="33" spans="2:4" ht="30" customHeight="1" outlineLevel="2" x14ac:dyDescent="0.2">
      <c r="B33" s="111" t="s">
        <v>948</v>
      </c>
      <c r="C33" s="108" t="s">
        <v>997</v>
      </c>
      <c r="D33" s="112" t="s">
        <v>1004</v>
      </c>
    </row>
    <row r="34" spans="2:4" ht="30" customHeight="1" outlineLevel="3" x14ac:dyDescent="0.2">
      <c r="B34" s="111" t="s">
        <v>948</v>
      </c>
      <c r="C34" s="108" t="s">
        <v>997</v>
      </c>
      <c r="D34" s="112" t="s">
        <v>998</v>
      </c>
    </row>
    <row r="35" spans="2:4" ht="30" customHeight="1" outlineLevel="3" x14ac:dyDescent="0.2">
      <c r="B35" s="111" t="s">
        <v>948</v>
      </c>
      <c r="C35" s="108" t="s">
        <v>997</v>
      </c>
      <c r="D35" s="112" t="s">
        <v>1000</v>
      </c>
    </row>
    <row r="36" spans="2:4" ht="30" customHeight="1" outlineLevel="3" x14ac:dyDescent="0.2">
      <c r="B36" s="111" t="s">
        <v>948</v>
      </c>
      <c r="C36" s="108" t="s">
        <v>997</v>
      </c>
      <c r="D36" s="112" t="s">
        <v>1212</v>
      </c>
    </row>
    <row r="37" spans="2:4" ht="30" customHeight="1" outlineLevel="3" x14ac:dyDescent="0.2">
      <c r="B37" s="111" t="s">
        <v>948</v>
      </c>
      <c r="C37" s="108" t="s">
        <v>983</v>
      </c>
      <c r="D37" s="112" t="s">
        <v>1304</v>
      </c>
    </row>
    <row r="38" spans="2:4" ht="30" customHeight="1" outlineLevel="3" x14ac:dyDescent="0.2">
      <c r="B38" s="111" t="s">
        <v>948</v>
      </c>
      <c r="C38" s="108" t="s">
        <v>983</v>
      </c>
      <c r="D38" s="112" t="s">
        <v>1019</v>
      </c>
    </row>
    <row r="39" spans="2:4" ht="30" customHeight="1" outlineLevel="3" x14ac:dyDescent="0.2">
      <c r="B39" s="111" t="s">
        <v>948</v>
      </c>
      <c r="C39" s="108" t="s">
        <v>983</v>
      </c>
      <c r="D39" s="112" t="s">
        <v>1015</v>
      </c>
    </row>
    <row r="40" spans="2:4" ht="30" customHeight="1" outlineLevel="3" x14ac:dyDescent="0.2">
      <c r="B40" s="111" t="s">
        <v>948</v>
      </c>
      <c r="C40" s="108" t="s">
        <v>983</v>
      </c>
      <c r="D40" s="112" t="s">
        <v>1035</v>
      </c>
    </row>
    <row r="41" spans="2:4" ht="30" customHeight="1" outlineLevel="3" x14ac:dyDescent="0.2">
      <c r="B41" s="111" t="s">
        <v>948</v>
      </c>
      <c r="C41" s="108" t="s">
        <v>983</v>
      </c>
      <c r="D41" s="112" t="s">
        <v>1306</v>
      </c>
    </row>
    <row r="42" spans="2:4" ht="30" customHeight="1" outlineLevel="3" x14ac:dyDescent="0.2">
      <c r="B42" s="111" t="s">
        <v>948</v>
      </c>
      <c r="C42" s="108" t="s">
        <v>983</v>
      </c>
      <c r="D42" s="112" t="s">
        <v>984</v>
      </c>
    </row>
    <row r="43" spans="2:4" ht="30" customHeight="1" outlineLevel="3" x14ac:dyDescent="0.2">
      <c r="B43" s="111" t="s">
        <v>948</v>
      </c>
      <c r="C43" s="108" t="s">
        <v>983</v>
      </c>
      <c r="D43" s="112" t="s">
        <v>1011</v>
      </c>
    </row>
    <row r="44" spans="2:4" ht="30" customHeight="1" outlineLevel="3" x14ac:dyDescent="0.2">
      <c r="B44" s="111" t="s">
        <v>948</v>
      </c>
      <c r="C44" s="108" t="s">
        <v>983</v>
      </c>
      <c r="D44" s="112" t="s">
        <v>1031</v>
      </c>
    </row>
    <row r="45" spans="2:4" ht="30" customHeight="1" outlineLevel="3" x14ac:dyDescent="0.2">
      <c r="B45" s="111" t="s">
        <v>948</v>
      </c>
      <c r="C45" s="108" t="s">
        <v>1023</v>
      </c>
      <c r="D45" s="112" t="s">
        <v>1024</v>
      </c>
    </row>
    <row r="46" spans="2:4" ht="30" customHeight="1" outlineLevel="3" x14ac:dyDescent="0.2">
      <c r="B46" s="111" t="s">
        <v>948</v>
      </c>
      <c r="C46" s="108" t="s">
        <v>1023</v>
      </c>
      <c r="D46" s="112" t="s">
        <v>1207</v>
      </c>
    </row>
    <row r="47" spans="2:4" ht="30" customHeight="1" outlineLevel="3" x14ac:dyDescent="0.2">
      <c r="B47" s="111" t="s">
        <v>948</v>
      </c>
      <c r="C47" s="108" t="s">
        <v>1023</v>
      </c>
      <c r="D47" s="112" t="s">
        <v>1307</v>
      </c>
    </row>
    <row r="48" spans="2:4" ht="30" customHeight="1" outlineLevel="2" x14ac:dyDescent="0.2">
      <c r="B48" s="111" t="s">
        <v>948</v>
      </c>
      <c r="C48" s="108" t="s">
        <v>1023</v>
      </c>
      <c r="D48" s="112" t="s">
        <v>1308</v>
      </c>
    </row>
    <row r="49" spans="2:4" ht="30" customHeight="1" outlineLevel="3" x14ac:dyDescent="0.2">
      <c r="B49" s="111" t="s">
        <v>948</v>
      </c>
      <c r="C49" s="108" t="s">
        <v>949</v>
      </c>
      <c r="D49" s="112" t="s">
        <v>952</v>
      </c>
    </row>
    <row r="50" spans="2:4" ht="30" customHeight="1" outlineLevel="3" x14ac:dyDescent="0.2">
      <c r="B50" s="111" t="s">
        <v>948</v>
      </c>
      <c r="C50" s="108" t="s">
        <v>949</v>
      </c>
      <c r="D50" s="112" t="s">
        <v>960</v>
      </c>
    </row>
    <row r="51" spans="2:4" ht="30" customHeight="1" outlineLevel="1" x14ac:dyDescent="0.2">
      <c r="B51" s="111" t="s">
        <v>948</v>
      </c>
      <c r="C51" s="108" t="s">
        <v>949</v>
      </c>
      <c r="D51" s="112" t="s">
        <v>965</v>
      </c>
    </row>
    <row r="52" spans="2:4" ht="30" customHeight="1" outlineLevel="2" x14ac:dyDescent="0.2">
      <c r="B52" s="111" t="s">
        <v>948</v>
      </c>
      <c r="C52" s="108" t="s">
        <v>949</v>
      </c>
      <c r="D52" s="112" t="s">
        <v>950</v>
      </c>
    </row>
    <row r="53" spans="2:4" s="85" customFormat="1" ht="30" customHeight="1" outlineLevel="3" x14ac:dyDescent="0.2">
      <c r="B53" s="111" t="s">
        <v>930</v>
      </c>
      <c r="C53" s="108" t="s">
        <v>1066</v>
      </c>
      <c r="D53" s="112" t="s">
        <v>1309</v>
      </c>
    </row>
    <row r="54" spans="2:4" s="85" customFormat="1" ht="30" customHeight="1" outlineLevel="3" x14ac:dyDescent="0.2">
      <c r="B54" s="111" t="s">
        <v>930</v>
      </c>
      <c r="C54" s="108" t="s">
        <v>1066</v>
      </c>
      <c r="D54" s="112" t="s">
        <v>1203</v>
      </c>
    </row>
    <row r="55" spans="2:4" ht="30" customHeight="1" outlineLevel="3" x14ac:dyDescent="0.2">
      <c r="B55" s="111" t="s">
        <v>930</v>
      </c>
      <c r="C55" s="108" t="s">
        <v>1066</v>
      </c>
      <c r="D55" s="112" t="s">
        <v>1310</v>
      </c>
    </row>
    <row r="56" spans="2:4" ht="30" customHeight="1" outlineLevel="3" x14ac:dyDescent="0.2">
      <c r="B56" s="111" t="s">
        <v>930</v>
      </c>
      <c r="C56" s="108" t="s">
        <v>1066</v>
      </c>
      <c r="D56" s="112" t="s">
        <v>1067</v>
      </c>
    </row>
    <row r="57" spans="2:4" s="85" customFormat="1" ht="30" customHeight="1" outlineLevel="3" x14ac:dyDescent="0.2">
      <c r="B57" s="111" t="s">
        <v>930</v>
      </c>
      <c r="C57" s="108" t="s">
        <v>931</v>
      </c>
      <c r="D57" s="112" t="s">
        <v>932</v>
      </c>
    </row>
    <row r="58" spans="2:4" s="85" customFormat="1" ht="30" customHeight="1" outlineLevel="3" x14ac:dyDescent="0.2">
      <c r="B58" s="111" t="s">
        <v>930</v>
      </c>
      <c r="C58" s="108" t="s">
        <v>931</v>
      </c>
      <c r="D58" s="112" t="s">
        <v>1064</v>
      </c>
    </row>
    <row r="59" spans="2:4" s="85" customFormat="1" ht="30" customHeight="1" outlineLevel="3" x14ac:dyDescent="0.2">
      <c r="B59" s="111" t="s">
        <v>1073</v>
      </c>
      <c r="C59" s="108" t="s">
        <v>1185</v>
      </c>
      <c r="D59" s="112" t="s">
        <v>1197</v>
      </c>
    </row>
    <row r="60" spans="2:4" ht="30" customHeight="1" outlineLevel="3" x14ac:dyDescent="0.2">
      <c r="B60" s="111" t="s">
        <v>1073</v>
      </c>
      <c r="C60" s="108" t="s">
        <v>1185</v>
      </c>
      <c r="D60" s="112" t="s">
        <v>1311</v>
      </c>
    </row>
    <row r="61" spans="2:4" ht="30" customHeight="1" outlineLevel="3" x14ac:dyDescent="0.2">
      <c r="B61" s="111" t="s">
        <v>1073</v>
      </c>
      <c r="C61" s="108" t="s">
        <v>1185</v>
      </c>
      <c r="D61" s="112" t="s">
        <v>1230</v>
      </c>
    </row>
    <row r="62" spans="2:4" ht="30" customHeight="1" outlineLevel="3" x14ac:dyDescent="0.2">
      <c r="B62" s="111" t="s">
        <v>1073</v>
      </c>
      <c r="C62" s="108" t="s">
        <v>1185</v>
      </c>
      <c r="D62" s="112" t="s">
        <v>1186</v>
      </c>
    </row>
    <row r="63" spans="2:4" ht="30" customHeight="1" outlineLevel="3" x14ac:dyDescent="0.2">
      <c r="B63" s="111" t="s">
        <v>1073</v>
      </c>
      <c r="C63" s="108" t="s">
        <v>1185</v>
      </c>
      <c r="D63" s="112" t="s">
        <v>1227</v>
      </c>
    </row>
    <row r="64" spans="2:4" s="85" customFormat="1" ht="30" customHeight="1" outlineLevel="3" x14ac:dyDescent="0.2">
      <c r="B64" s="111" t="s">
        <v>1073</v>
      </c>
      <c r="C64" s="108" t="s">
        <v>1074</v>
      </c>
      <c r="D64" s="112" t="s">
        <v>1075</v>
      </c>
    </row>
    <row r="65" spans="2:4" ht="30" customHeight="1" outlineLevel="2" x14ac:dyDescent="0.2">
      <c r="B65" s="111" t="s">
        <v>1073</v>
      </c>
      <c r="C65" s="108" t="s">
        <v>1074</v>
      </c>
      <c r="D65" s="112" t="s">
        <v>1312</v>
      </c>
    </row>
    <row r="66" spans="2:4" ht="30" customHeight="1" outlineLevel="3" x14ac:dyDescent="0.2">
      <c r="B66" s="111" t="s">
        <v>839</v>
      </c>
      <c r="C66" s="108" t="s">
        <v>1107</v>
      </c>
      <c r="D66" s="112" t="s">
        <v>1058</v>
      </c>
    </row>
    <row r="67" spans="2:4" ht="30" customHeight="1" outlineLevel="3" x14ac:dyDescent="0.2">
      <c r="B67" s="111" t="s">
        <v>839</v>
      </c>
      <c r="C67" s="108" t="s">
        <v>1107</v>
      </c>
      <c r="D67" s="112" t="s">
        <v>844</v>
      </c>
    </row>
    <row r="68" spans="2:4" ht="30" customHeight="1" outlineLevel="2" x14ac:dyDescent="0.2">
      <c r="B68" s="111" t="s">
        <v>839</v>
      </c>
      <c r="C68" s="108" t="s">
        <v>1107</v>
      </c>
      <c r="D68" s="112" t="s">
        <v>840</v>
      </c>
    </row>
    <row r="69" spans="2:4" ht="30" customHeight="1" outlineLevel="3" x14ac:dyDescent="0.2">
      <c r="B69" s="111" t="s">
        <v>839</v>
      </c>
      <c r="C69" s="108" t="s">
        <v>1107</v>
      </c>
      <c r="D69" s="112" t="s">
        <v>1314</v>
      </c>
    </row>
    <row r="70" spans="2:4" ht="30" customHeight="1" outlineLevel="3" x14ac:dyDescent="0.2">
      <c r="B70" s="111" t="s">
        <v>839</v>
      </c>
      <c r="C70" s="108" t="s">
        <v>1059</v>
      </c>
      <c r="D70" s="112" t="s">
        <v>1221</v>
      </c>
    </row>
    <row r="71" spans="2:4" ht="30" customHeight="1" outlineLevel="3" x14ac:dyDescent="0.2">
      <c r="B71" s="111" t="s">
        <v>839</v>
      </c>
      <c r="C71" s="108" t="s">
        <v>1059</v>
      </c>
      <c r="D71" s="112" t="s">
        <v>1165</v>
      </c>
    </row>
    <row r="72" spans="2:4" ht="30" customHeight="1" outlineLevel="1" x14ac:dyDescent="0.2">
      <c r="B72" s="111" t="s">
        <v>839</v>
      </c>
      <c r="C72" s="108" t="s">
        <v>1059</v>
      </c>
      <c r="D72" s="112" t="s">
        <v>1062</v>
      </c>
    </row>
    <row r="73" spans="2:4" ht="30" customHeight="1" outlineLevel="2" x14ac:dyDescent="0.2">
      <c r="B73" s="111" t="s">
        <v>839</v>
      </c>
      <c r="C73" s="108" t="s">
        <v>1059</v>
      </c>
      <c r="D73" s="112" t="s">
        <v>1166</v>
      </c>
    </row>
    <row r="74" spans="2:4" ht="30" customHeight="1" outlineLevel="2" x14ac:dyDescent="0.2">
      <c r="B74" s="111" t="s">
        <v>839</v>
      </c>
      <c r="C74" s="108" t="s">
        <v>1059</v>
      </c>
      <c r="D74" s="112" t="s">
        <v>1060</v>
      </c>
    </row>
    <row r="75" spans="2:4" s="29" customFormat="1" ht="30" customHeight="1" outlineLevel="1" x14ac:dyDescent="0.2">
      <c r="B75" s="111" t="s">
        <v>839</v>
      </c>
      <c r="C75" s="108" t="s">
        <v>845</v>
      </c>
      <c r="D75" s="112" t="s">
        <v>1318</v>
      </c>
    </row>
    <row r="76" spans="2:4" ht="30" customHeight="1" outlineLevel="2" x14ac:dyDescent="0.2">
      <c r="B76" s="111" t="s">
        <v>839</v>
      </c>
      <c r="C76" s="108" t="s">
        <v>845</v>
      </c>
      <c r="D76" s="112" t="s">
        <v>846</v>
      </c>
    </row>
    <row r="77" spans="2:4" ht="30" customHeight="1" outlineLevel="2" x14ac:dyDescent="0.2">
      <c r="B77" s="111" t="s">
        <v>839</v>
      </c>
      <c r="C77" s="108" t="s">
        <v>845</v>
      </c>
      <c r="D77" s="112" t="s">
        <v>1319</v>
      </c>
    </row>
    <row r="78" spans="2:4" ht="30" customHeight="1" outlineLevel="2" x14ac:dyDescent="0.2">
      <c r="B78" s="111" t="s">
        <v>839</v>
      </c>
      <c r="C78" s="108" t="s">
        <v>845</v>
      </c>
      <c r="D78" s="112" t="s">
        <v>1226</v>
      </c>
    </row>
    <row r="79" spans="2:4" ht="30" customHeight="1" outlineLevel="2" x14ac:dyDescent="0.2">
      <c r="B79" s="111" t="s">
        <v>839</v>
      </c>
      <c r="C79" s="108" t="s">
        <v>845</v>
      </c>
      <c r="D79" s="112" t="s">
        <v>1320</v>
      </c>
    </row>
    <row r="80" spans="2:4" ht="30" customHeight="1" outlineLevel="2" x14ac:dyDescent="0.2">
      <c r="B80" s="111" t="s">
        <v>839</v>
      </c>
      <c r="C80" s="108" t="s">
        <v>845</v>
      </c>
      <c r="D80" s="112" t="s">
        <v>1321</v>
      </c>
    </row>
    <row r="81" spans="2:4" ht="30" customHeight="1" outlineLevel="2" x14ac:dyDescent="0.2">
      <c r="B81" s="111" t="s">
        <v>839</v>
      </c>
      <c r="C81" s="108" t="s">
        <v>845</v>
      </c>
      <c r="D81" s="112" t="s">
        <v>1322</v>
      </c>
    </row>
    <row r="82" spans="2:4" ht="30" customHeight="1" x14ac:dyDescent="0.2">
      <c r="B82" s="111" t="s">
        <v>839</v>
      </c>
      <c r="C82" s="108" t="s">
        <v>945</v>
      </c>
      <c r="D82" s="112" t="s">
        <v>946</v>
      </c>
    </row>
    <row r="83" spans="2:4" ht="30" customHeight="1" outlineLevel="1" x14ac:dyDescent="0.2">
      <c r="B83" s="111" t="s">
        <v>839</v>
      </c>
      <c r="C83" s="108" t="s">
        <v>945</v>
      </c>
      <c r="D83" s="112" t="s">
        <v>947</v>
      </c>
    </row>
    <row r="84" spans="2:4" ht="30" customHeight="1" outlineLevel="2" x14ac:dyDescent="0.2">
      <c r="B84" s="111" t="s">
        <v>839</v>
      </c>
      <c r="C84" s="108" t="s">
        <v>945</v>
      </c>
      <c r="D84" s="112" t="s">
        <v>1211</v>
      </c>
    </row>
    <row r="85" spans="2:4" ht="30" customHeight="1" outlineLevel="3" x14ac:dyDescent="0.2">
      <c r="B85" s="111" t="s">
        <v>839</v>
      </c>
      <c r="C85" s="108" t="s">
        <v>945</v>
      </c>
      <c r="D85" s="112" t="s">
        <v>1215</v>
      </c>
    </row>
    <row r="86" spans="2:4" ht="30" customHeight="1" outlineLevel="3" x14ac:dyDescent="0.2">
      <c r="B86" s="111" t="s">
        <v>839</v>
      </c>
      <c r="C86" s="108" t="s">
        <v>861</v>
      </c>
      <c r="D86" s="112" t="s">
        <v>862</v>
      </c>
    </row>
    <row r="87" spans="2:4" ht="30" customHeight="1" outlineLevel="3" x14ac:dyDescent="0.2">
      <c r="B87" s="111" t="s">
        <v>839</v>
      </c>
      <c r="C87" s="108" t="s">
        <v>861</v>
      </c>
      <c r="D87" s="112" t="s">
        <v>1218</v>
      </c>
    </row>
    <row r="88" spans="2:4" ht="30" customHeight="1" outlineLevel="3" x14ac:dyDescent="0.2"/>
    <row r="89" spans="2:4" ht="30" customHeight="1" outlineLevel="3" x14ac:dyDescent="0.2"/>
    <row r="90" spans="2:4" ht="30" customHeight="1" outlineLevel="3" x14ac:dyDescent="0.2"/>
    <row r="91" spans="2:4" ht="30" customHeight="1" outlineLevel="3" x14ac:dyDescent="0.2"/>
    <row r="92" spans="2:4" ht="30" customHeight="1" outlineLevel="2" x14ac:dyDescent="0.2"/>
    <row r="93" spans="2:4" ht="30" customHeight="1" outlineLevel="3" x14ac:dyDescent="0.2"/>
    <row r="94" spans="2:4" ht="30" customHeight="1" outlineLevel="3" x14ac:dyDescent="0.2"/>
    <row r="95" spans="2:4" ht="30" customHeight="1" outlineLevel="3" x14ac:dyDescent="0.2"/>
    <row r="96" spans="2:4" ht="30" customHeight="1" outlineLevel="3" x14ac:dyDescent="0.2"/>
    <row r="97" ht="30" customHeight="1" outlineLevel="3" x14ac:dyDescent="0.2"/>
    <row r="98" ht="30" customHeight="1" outlineLevel="2" x14ac:dyDescent="0.2"/>
    <row r="99" ht="30" customHeight="1" outlineLevel="3" x14ac:dyDescent="0.2"/>
    <row r="100" ht="30" customHeight="1" outlineLevel="3" x14ac:dyDescent="0.2"/>
    <row r="101" ht="30" customHeight="1" outlineLevel="3" x14ac:dyDescent="0.2"/>
    <row r="102" ht="30" customHeight="1" outlineLevel="3" x14ac:dyDescent="0.2"/>
    <row r="103" ht="30" customHeight="1" outlineLevel="1" x14ac:dyDescent="0.2"/>
    <row r="104" ht="30" customHeight="1" outlineLevel="2" x14ac:dyDescent="0.2"/>
    <row r="105" ht="30" customHeight="1" outlineLevel="3" x14ac:dyDescent="0.2"/>
    <row r="106" ht="30" customHeight="1" outlineLevel="3" x14ac:dyDescent="0.2"/>
    <row r="107" ht="30" customHeight="1" outlineLevel="3" x14ac:dyDescent="0.2"/>
    <row r="108" ht="30" customHeight="1" outlineLevel="3" x14ac:dyDescent="0.2"/>
    <row r="109" ht="30" customHeight="1" outlineLevel="3" x14ac:dyDescent="0.2"/>
    <row r="110" ht="30" customHeight="1" outlineLevel="3" x14ac:dyDescent="0.2"/>
    <row r="111" ht="30" customHeight="1" outlineLevel="3" x14ac:dyDescent="0.2"/>
    <row r="112" ht="30" customHeight="1" outlineLevel="2" x14ac:dyDescent="0.2"/>
    <row r="113" ht="30" customHeight="1" outlineLevel="1" x14ac:dyDescent="0.2"/>
    <row r="114" ht="30" customHeight="1" outlineLevel="2" x14ac:dyDescent="0.2"/>
    <row r="115" ht="30" customHeight="1" outlineLevel="3" x14ac:dyDescent="0.2"/>
    <row r="116" ht="30" customHeight="1" outlineLevel="3" x14ac:dyDescent="0.2"/>
    <row r="117" ht="30" customHeight="1" outlineLevel="3" x14ac:dyDescent="0.2"/>
    <row r="118" ht="30" customHeight="1" outlineLevel="3" x14ac:dyDescent="0.2"/>
    <row r="119" s="32" customFormat="1" ht="30" customHeight="1" outlineLevel="3" x14ac:dyDescent="0.2"/>
    <row r="120" s="32" customFormat="1" ht="30" customHeight="1" outlineLevel="3" x14ac:dyDescent="0.2"/>
    <row r="121" ht="30" customHeight="1" outlineLevel="3" x14ac:dyDescent="0.2"/>
    <row r="122" ht="30" customHeight="1" outlineLevel="3" x14ac:dyDescent="0.2"/>
    <row r="123" ht="30" customHeight="1" outlineLevel="2" x14ac:dyDescent="0.2"/>
    <row r="124" ht="30" customHeight="1" outlineLevel="3" x14ac:dyDescent="0.2"/>
    <row r="125" ht="30" customHeight="1" outlineLevel="3" x14ac:dyDescent="0.2"/>
    <row r="126" ht="30" customHeight="1" outlineLevel="3" x14ac:dyDescent="0.2"/>
    <row r="127" ht="30" customHeight="1" outlineLevel="3" x14ac:dyDescent="0.2"/>
    <row r="128" ht="30" customHeight="1" outlineLevel="3" x14ac:dyDescent="0.2"/>
    <row r="129" ht="30" customHeight="1" outlineLevel="2" x14ac:dyDescent="0.2"/>
    <row r="130" ht="30" customHeight="1" outlineLevel="3" x14ac:dyDescent="0.2"/>
    <row r="131" s="32" customFormat="1" ht="30" customHeight="1" outlineLevel="3" x14ac:dyDescent="0.2"/>
    <row r="132" ht="30" customHeight="1" outlineLevel="3" x14ac:dyDescent="0.2"/>
    <row r="133" ht="30" customHeight="1" x14ac:dyDescent="0.2"/>
    <row r="134" ht="30" customHeight="1" outlineLevel="1" x14ac:dyDescent="0.2"/>
    <row r="135" ht="30" customHeight="1" outlineLevel="2" x14ac:dyDescent="0.2"/>
    <row r="136" ht="30" customHeight="1" outlineLevel="3" x14ac:dyDescent="0.2"/>
    <row r="137" ht="30" customHeight="1" outlineLevel="3" x14ac:dyDescent="0.2"/>
    <row r="138" ht="30" customHeight="1" outlineLevel="2" x14ac:dyDescent="0.2"/>
    <row r="139" ht="30" customHeight="1" outlineLevel="2" x14ac:dyDescent="0.2"/>
    <row r="140" ht="30" customHeight="1" outlineLevel="3" x14ac:dyDescent="0.2"/>
    <row r="141" ht="30" customHeight="1" outlineLevel="3" x14ac:dyDescent="0.2"/>
    <row r="142" ht="30" customHeight="1" outlineLevel="1" x14ac:dyDescent="0.2"/>
    <row r="143" ht="30" customHeight="1" outlineLevel="2" x14ac:dyDescent="0.2"/>
    <row r="144" ht="30" customHeight="1" outlineLevel="2" x14ac:dyDescent="0.2"/>
    <row r="145" ht="30" customHeight="1" outlineLevel="3" x14ac:dyDescent="0.2"/>
    <row r="146" ht="30" customHeight="1" outlineLevel="3" x14ac:dyDescent="0.2"/>
    <row r="147" ht="30" customHeight="1" outlineLevel="3" x14ac:dyDescent="0.2"/>
    <row r="148" ht="30" customHeight="1" outlineLevel="3" x14ac:dyDescent="0.2"/>
    <row r="149" ht="30" customHeight="1" outlineLevel="3" x14ac:dyDescent="0.2"/>
    <row r="150" ht="30" customHeight="1" outlineLevel="3" x14ac:dyDescent="0.2"/>
    <row r="151" ht="30" customHeight="1" outlineLevel="2" x14ac:dyDescent="0.2"/>
    <row r="152" ht="30" customHeight="1" outlineLevel="3" x14ac:dyDescent="0.2"/>
    <row r="153" ht="30" customHeight="1" outlineLevel="3" x14ac:dyDescent="0.2"/>
    <row r="154" ht="30" customHeight="1" outlineLevel="3" x14ac:dyDescent="0.2"/>
    <row r="155" ht="30" customHeight="1" outlineLevel="3" x14ac:dyDescent="0.2"/>
    <row r="156" ht="30" customHeight="1" outlineLevel="2" x14ac:dyDescent="0.2"/>
    <row r="157" ht="30" customHeight="1" outlineLevel="3" x14ac:dyDescent="0.2"/>
    <row r="158" ht="30" customHeight="1" outlineLevel="2" x14ac:dyDescent="0.2"/>
    <row r="159" ht="30" customHeight="1" outlineLevel="1" x14ac:dyDescent="0.2"/>
    <row r="160" ht="30" customHeight="1" outlineLevel="2" x14ac:dyDescent="0.2"/>
    <row r="161" ht="30" customHeight="1" outlineLevel="2" x14ac:dyDescent="0.2"/>
    <row r="162" ht="30" customHeight="1" outlineLevel="3" x14ac:dyDescent="0.2"/>
    <row r="163" ht="30" customHeight="1" outlineLevel="3" x14ac:dyDescent="0.2"/>
    <row r="164" ht="30" customHeight="1" outlineLevel="4" x14ac:dyDescent="0.2"/>
    <row r="165" ht="30" customHeight="1" outlineLevel="4" x14ac:dyDescent="0.2"/>
    <row r="166" ht="30" customHeight="1" outlineLevel="4" x14ac:dyDescent="0.2"/>
    <row r="167" ht="30" customHeight="1" outlineLevel="3" x14ac:dyDescent="0.2"/>
    <row r="168" ht="30" customHeight="1" outlineLevel="4" x14ac:dyDescent="0.2"/>
    <row r="169" ht="30" customHeight="1" outlineLevel="4" x14ac:dyDescent="0.2"/>
    <row r="170" ht="30" customHeight="1" outlineLevel="4" x14ac:dyDescent="0.2"/>
    <row r="171" ht="30" customHeight="1" outlineLevel="2" x14ac:dyDescent="0.2"/>
    <row r="172" ht="30" customHeight="1" outlineLevel="3" x14ac:dyDescent="0.2"/>
    <row r="173" ht="30" customHeight="1" outlineLevel="3" x14ac:dyDescent="0.2"/>
    <row r="174" ht="30" customHeight="1" outlineLevel="4" x14ac:dyDescent="0.2"/>
    <row r="175" ht="30" customHeight="1" outlineLevel="4" x14ac:dyDescent="0.2"/>
    <row r="176" ht="30" customHeight="1" outlineLevel="4" x14ac:dyDescent="0.2"/>
    <row r="177" ht="30" customHeight="1" outlineLevel="4" x14ac:dyDescent="0.2"/>
    <row r="178" ht="30" customHeight="1" outlineLevel="4" x14ac:dyDescent="0.2"/>
    <row r="179" ht="30" customHeight="1" outlineLevel="4" x14ac:dyDescent="0.2"/>
    <row r="180" ht="30" customHeight="1" outlineLevel="4" x14ac:dyDescent="0.2"/>
    <row r="181" ht="30" customHeight="1" outlineLevel="3" x14ac:dyDescent="0.2"/>
    <row r="182" ht="30" customHeight="1" outlineLevel="2" x14ac:dyDescent="0.2"/>
    <row r="183" ht="30" customHeight="1" outlineLevel="3" x14ac:dyDescent="0.2"/>
    <row r="184" ht="30" customHeight="1" outlineLevel="3" x14ac:dyDescent="0.2"/>
    <row r="185" ht="30" customHeight="1" outlineLevel="3" x14ac:dyDescent="0.2"/>
    <row r="186" ht="30" customHeight="1" outlineLevel="3" x14ac:dyDescent="0.2"/>
    <row r="187" ht="30" customHeight="1" outlineLevel="3" x14ac:dyDescent="0.2"/>
    <row r="188" ht="30" customHeight="1" outlineLevel="3" x14ac:dyDescent="0.2"/>
    <row r="189" ht="30" customHeight="1" outlineLevel="3" x14ac:dyDescent="0.2"/>
    <row r="190" ht="30" customHeight="1" outlineLevel="3" x14ac:dyDescent="0.2"/>
    <row r="191" ht="30" customHeight="1" outlineLevel="3" x14ac:dyDescent="0.2"/>
    <row r="192" ht="30" customHeight="1" outlineLevel="3" x14ac:dyDescent="0.2"/>
    <row r="193" ht="30" customHeight="1" outlineLevel="3" x14ac:dyDescent="0.2"/>
    <row r="194" ht="30" customHeight="1" outlineLevel="3" x14ac:dyDescent="0.2"/>
    <row r="195" ht="30" customHeight="1" outlineLevel="3" x14ac:dyDescent="0.2"/>
    <row r="196" ht="30" customHeight="1" outlineLevel="3" x14ac:dyDescent="0.2"/>
    <row r="197" ht="30" customHeight="1" outlineLevel="3" x14ac:dyDescent="0.2"/>
    <row r="198" ht="30" customHeight="1" outlineLevel="3" x14ac:dyDescent="0.2"/>
    <row r="199" ht="30" customHeight="1" outlineLevel="3" x14ac:dyDescent="0.2"/>
    <row r="200" ht="30" customHeight="1" outlineLevel="3" x14ac:dyDescent="0.2"/>
    <row r="201" ht="30" customHeight="1" outlineLevel="3" x14ac:dyDescent="0.2"/>
    <row r="202" ht="30" customHeight="1" outlineLevel="3" x14ac:dyDescent="0.2"/>
    <row r="203" ht="30" customHeight="1" outlineLevel="3" x14ac:dyDescent="0.2"/>
    <row r="204" ht="30" customHeight="1" outlineLevel="3" x14ac:dyDescent="0.2"/>
    <row r="205" ht="30" customHeight="1" outlineLevel="3" x14ac:dyDescent="0.2"/>
    <row r="206" ht="30" customHeight="1" outlineLevel="3" x14ac:dyDescent="0.2"/>
    <row r="207" ht="30" customHeight="1" outlineLevel="2" x14ac:dyDescent="0.2"/>
    <row r="208" ht="30" customHeight="1" outlineLevel="2" x14ac:dyDescent="0.2"/>
    <row r="209" ht="30" customHeight="1" outlineLevel="3" x14ac:dyDescent="0.2"/>
    <row r="210" ht="30" customHeight="1" outlineLevel="3" x14ac:dyDescent="0.2"/>
    <row r="211" ht="30" customHeight="1" outlineLevel="3" x14ac:dyDescent="0.2"/>
    <row r="212" ht="30" customHeight="1" outlineLevel="3" x14ac:dyDescent="0.2"/>
    <row r="213" ht="30" customHeight="1" outlineLevel="3" x14ac:dyDescent="0.2"/>
    <row r="214" ht="30" customHeight="1" outlineLevel="3" x14ac:dyDescent="0.2"/>
    <row r="215" ht="30" customHeight="1" outlineLevel="3" x14ac:dyDescent="0.2"/>
    <row r="216" ht="30" customHeight="1" outlineLevel="3" x14ac:dyDescent="0.2"/>
    <row r="217" ht="30" customHeight="1" outlineLevel="3" x14ac:dyDescent="0.2"/>
    <row r="218" ht="30" customHeight="1" outlineLevel="3" x14ac:dyDescent="0.2"/>
    <row r="219" ht="30" customHeight="1" outlineLevel="3" x14ac:dyDescent="0.2"/>
    <row r="220" ht="30" customHeight="1" outlineLevel="3" x14ac:dyDescent="0.2"/>
    <row r="221" ht="30" customHeight="1" outlineLevel="3" x14ac:dyDescent="0.2"/>
    <row r="222" ht="30" customHeight="1" outlineLevel="3" x14ac:dyDescent="0.2"/>
    <row r="223" ht="30" customHeight="1" outlineLevel="3" x14ac:dyDescent="0.2"/>
    <row r="224" ht="30" customHeight="1" outlineLevel="3" x14ac:dyDescent="0.2"/>
    <row r="225" ht="30" customHeight="1" outlineLevel="3" x14ac:dyDescent="0.2"/>
    <row r="226" ht="30" customHeight="1" outlineLevel="3" x14ac:dyDescent="0.2"/>
    <row r="227" ht="30" customHeight="1" outlineLevel="2" x14ac:dyDescent="0.2"/>
    <row r="228" ht="30" customHeight="1" outlineLevel="3" x14ac:dyDescent="0.2"/>
    <row r="229" ht="30" customHeight="1" outlineLevel="4" x14ac:dyDescent="0.2"/>
    <row r="230" ht="30" customHeight="1" outlineLevel="4" x14ac:dyDescent="0.2"/>
    <row r="231" ht="30" customHeight="1" outlineLevel="4" x14ac:dyDescent="0.2"/>
    <row r="232" ht="30" customHeight="1" outlineLevel="4" x14ac:dyDescent="0.2"/>
    <row r="233" ht="30" customHeight="1" outlineLevel="4" x14ac:dyDescent="0.2"/>
    <row r="234" ht="30" customHeight="1" outlineLevel="4" x14ac:dyDescent="0.2"/>
    <row r="235" ht="30" customHeight="1" outlineLevel="4" x14ac:dyDescent="0.2"/>
    <row r="236" ht="30" customHeight="1" outlineLevel="3" x14ac:dyDescent="0.2"/>
    <row r="237" ht="30" customHeight="1" outlineLevel="4" x14ac:dyDescent="0.2"/>
    <row r="238" ht="30" customHeight="1" outlineLevel="4" x14ac:dyDescent="0.2"/>
    <row r="239" ht="30" customHeight="1" outlineLevel="4" x14ac:dyDescent="0.2"/>
    <row r="240" ht="30" customHeight="1" outlineLevel="4" x14ac:dyDescent="0.2"/>
    <row r="241" ht="30" customHeight="1" outlineLevel="4" x14ac:dyDescent="0.2"/>
    <row r="242" ht="30" customHeight="1" outlineLevel="4" x14ac:dyDescent="0.2"/>
    <row r="243" ht="30" customHeight="1" outlineLevel="4" x14ac:dyDescent="0.2"/>
    <row r="244" ht="30" customHeight="1" outlineLevel="4" x14ac:dyDescent="0.2"/>
    <row r="245" ht="30" customHeight="1" outlineLevel="4" x14ac:dyDescent="0.2"/>
    <row r="246" ht="30" customHeight="1" outlineLevel="4" x14ac:dyDescent="0.2"/>
    <row r="247" ht="30" customHeight="1" outlineLevel="4" x14ac:dyDescent="0.2"/>
    <row r="248" ht="30" customHeight="1" outlineLevel="4" x14ac:dyDescent="0.2"/>
    <row r="249" ht="30" customHeight="1" outlineLevel="4" x14ac:dyDescent="0.2"/>
    <row r="250" ht="30" customHeight="1" outlineLevel="4" x14ac:dyDescent="0.2"/>
    <row r="251" ht="30" customHeight="1" outlineLevel="4" x14ac:dyDescent="0.2"/>
    <row r="252" ht="30" customHeight="1" outlineLevel="4" x14ac:dyDescent="0.2"/>
    <row r="253" ht="30" customHeight="1" outlineLevel="4" x14ac:dyDescent="0.2"/>
    <row r="254" ht="30" customHeight="1" outlineLevel="3" x14ac:dyDescent="0.2"/>
    <row r="255" ht="30" customHeight="1" outlineLevel="4" x14ac:dyDescent="0.2"/>
    <row r="256" ht="30" customHeight="1" outlineLevel="4" x14ac:dyDescent="0.2"/>
    <row r="257" ht="30" customHeight="1" outlineLevel="4" x14ac:dyDescent="0.2"/>
    <row r="258" ht="30" customHeight="1" outlineLevel="4" x14ac:dyDescent="0.2"/>
    <row r="259" ht="30" customHeight="1" outlineLevel="4" x14ac:dyDescent="0.2"/>
    <row r="260" ht="30" customHeight="1" outlineLevel="4" x14ac:dyDescent="0.2"/>
    <row r="261" ht="30" customHeight="1" outlineLevel="4" x14ac:dyDescent="0.2"/>
    <row r="262" ht="30" customHeight="1" outlineLevel="4" x14ac:dyDescent="0.2"/>
    <row r="263" ht="30" customHeight="1" outlineLevel="4" x14ac:dyDescent="0.2"/>
    <row r="264" ht="30" customHeight="1" outlineLevel="4" x14ac:dyDescent="0.2"/>
    <row r="265" ht="30" customHeight="1" outlineLevel="4" x14ac:dyDescent="0.2"/>
    <row r="266" ht="30" customHeight="1" outlineLevel="4" x14ac:dyDescent="0.2"/>
    <row r="267" ht="30" customHeight="1" outlineLevel="3" x14ac:dyDescent="0.2"/>
    <row r="268" ht="30" customHeight="1" outlineLevel="3" x14ac:dyDescent="0.2"/>
    <row r="269" ht="30" customHeight="1" outlineLevel="4" x14ac:dyDescent="0.2"/>
    <row r="270" ht="30" customHeight="1" outlineLevel="4" x14ac:dyDescent="0.2"/>
    <row r="271" ht="30" customHeight="1" outlineLevel="2" x14ac:dyDescent="0.2"/>
    <row r="272" ht="30" customHeight="1" outlineLevel="3" x14ac:dyDescent="0.2"/>
    <row r="273" ht="30" customHeight="1" outlineLevel="3" x14ac:dyDescent="0.2"/>
    <row r="274" ht="30" customHeight="1" outlineLevel="3" x14ac:dyDescent="0.2"/>
    <row r="275" ht="30" customHeight="1" outlineLevel="1" x14ac:dyDescent="0.2"/>
    <row r="276" ht="30" customHeight="1" outlineLevel="2" x14ac:dyDescent="0.2"/>
    <row r="277" ht="30" customHeight="1" outlineLevel="3" x14ac:dyDescent="0.2"/>
    <row r="278" ht="30" customHeight="1" outlineLevel="3" x14ac:dyDescent="0.2"/>
    <row r="279" ht="30" customHeight="1" outlineLevel="3" x14ac:dyDescent="0.2"/>
    <row r="280" ht="30" customHeight="1" outlineLevel="3" x14ac:dyDescent="0.2"/>
    <row r="281" ht="30" customHeight="1" outlineLevel="3" x14ac:dyDescent="0.2"/>
    <row r="282" ht="30" customHeight="1" outlineLevel="3" x14ac:dyDescent="0.2"/>
    <row r="283" ht="30" customHeight="1" outlineLevel="2" x14ac:dyDescent="0.2"/>
    <row r="284" ht="30" customHeight="1" outlineLevel="2" x14ac:dyDescent="0.2"/>
    <row r="285" ht="30" customHeight="1" outlineLevel="2" x14ac:dyDescent="0.2"/>
    <row r="286" ht="30" customHeight="1" outlineLevel="1" x14ac:dyDescent="0.2"/>
    <row r="287" ht="30" customHeight="1" outlineLevel="2" x14ac:dyDescent="0.2"/>
    <row r="288" ht="30" customHeight="1" outlineLevel="3" x14ac:dyDescent="0.2"/>
    <row r="289" ht="30" customHeight="1" outlineLevel="3" x14ac:dyDescent="0.2"/>
    <row r="290" ht="30" customHeight="1" outlineLevel="3" x14ac:dyDescent="0.2"/>
    <row r="291" ht="30" customHeight="1" outlineLevel="3" x14ac:dyDescent="0.2"/>
    <row r="292" ht="30" customHeight="1" outlineLevel="3" x14ac:dyDescent="0.2"/>
    <row r="293" ht="30" customHeight="1" outlineLevel="2" x14ac:dyDescent="0.2"/>
    <row r="294" ht="30" customHeight="1" outlineLevel="3" x14ac:dyDescent="0.2"/>
    <row r="295" ht="30" customHeight="1" outlineLevel="3" x14ac:dyDescent="0.2"/>
    <row r="296" ht="30" customHeight="1" outlineLevel="2" x14ac:dyDescent="0.2"/>
    <row r="297" ht="30" customHeight="1" outlineLevel="3" x14ac:dyDescent="0.2"/>
    <row r="298" ht="30" customHeight="1" outlineLevel="3" x14ac:dyDescent="0.2"/>
    <row r="299" ht="30" customHeight="1" outlineLevel="3" x14ac:dyDescent="0.2"/>
    <row r="300" ht="30" customHeight="1" outlineLevel="3" x14ac:dyDescent="0.2"/>
    <row r="301" ht="30" customHeight="1" outlineLevel="3" x14ac:dyDescent="0.2"/>
    <row r="302" ht="30" customHeight="1" outlineLevel="3" x14ac:dyDescent="0.2"/>
    <row r="303" ht="30" customHeight="1" outlineLevel="3" x14ac:dyDescent="0.2"/>
    <row r="304" ht="30" customHeight="1" outlineLevel="3" x14ac:dyDescent="0.2"/>
    <row r="305" ht="30" customHeight="1" outlineLevel="3" x14ac:dyDescent="0.2"/>
    <row r="306" ht="30" customHeight="1" outlineLevel="3" x14ac:dyDescent="0.2"/>
    <row r="307" ht="30" customHeight="1" outlineLevel="3" x14ac:dyDescent="0.2"/>
    <row r="308" ht="30" customHeight="1" outlineLevel="2" x14ac:dyDescent="0.2"/>
    <row r="309" ht="30" customHeight="1" outlineLevel="3" x14ac:dyDescent="0.2"/>
    <row r="310" ht="30" customHeight="1" outlineLevel="3" x14ac:dyDescent="0.2"/>
    <row r="311" ht="30" customHeight="1" outlineLevel="3" x14ac:dyDescent="0.2"/>
    <row r="312" ht="30" customHeight="1" outlineLevel="3" x14ac:dyDescent="0.2"/>
    <row r="313" ht="30" customHeight="1" outlineLevel="3" x14ac:dyDescent="0.2"/>
    <row r="314" ht="30" customHeight="1" outlineLevel="3" x14ac:dyDescent="0.2"/>
    <row r="315" ht="30" customHeight="1" outlineLevel="3" x14ac:dyDescent="0.2"/>
    <row r="316" ht="30" customHeight="1" outlineLevel="3" x14ac:dyDescent="0.2"/>
    <row r="317" ht="30" customHeight="1" outlineLevel="3" x14ac:dyDescent="0.2"/>
    <row r="318" ht="30" customHeight="1" outlineLevel="3" x14ac:dyDescent="0.2"/>
    <row r="319" ht="30" customHeight="1" outlineLevel="3" x14ac:dyDescent="0.2"/>
    <row r="320" ht="30" customHeight="1" outlineLevel="3" x14ac:dyDescent="0.2"/>
    <row r="321" ht="30" customHeight="1" x14ac:dyDescent="0.2"/>
    <row r="322" ht="30" customHeight="1" outlineLevel="1" collapsed="1" x14ac:dyDescent="0.2"/>
    <row r="323" ht="30" customHeight="1" outlineLevel="2" x14ac:dyDescent="0.2"/>
    <row r="324" ht="30" customHeight="1" outlineLevel="2" x14ac:dyDescent="0.2"/>
    <row r="325" ht="30" customHeight="1" outlineLevel="2" x14ac:dyDescent="0.2"/>
    <row r="326" ht="30" customHeight="1" outlineLevel="2" x14ac:dyDescent="0.2"/>
    <row r="327" ht="30" customHeight="1" outlineLevel="3" x14ac:dyDescent="0.2"/>
    <row r="328" ht="30" customHeight="1" outlineLevel="3" x14ac:dyDescent="0.2"/>
    <row r="329" ht="30" customHeight="1" outlineLevel="3" x14ac:dyDescent="0.2"/>
    <row r="330" ht="30" customHeight="1" outlineLevel="1" x14ac:dyDescent="0.2"/>
    <row r="331" ht="30" customHeight="1" outlineLevel="2" x14ac:dyDescent="0.2"/>
    <row r="332" ht="30" customHeight="1" outlineLevel="2" x14ac:dyDescent="0.2"/>
    <row r="333" ht="30" customHeight="1" x14ac:dyDescent="0.2"/>
    <row r="334" ht="30" customHeight="1" outlineLevel="1" x14ac:dyDescent="0.2"/>
    <row r="335" ht="30" customHeight="1" outlineLevel="2" x14ac:dyDescent="0.2"/>
    <row r="336" ht="30" customHeight="1" outlineLevel="2" x14ac:dyDescent="0.2"/>
    <row r="337" ht="30" customHeight="1" outlineLevel="2" x14ac:dyDescent="0.2"/>
    <row r="338" ht="30" customHeight="1" outlineLevel="2" x14ac:dyDescent="0.2"/>
    <row r="339" ht="30" customHeight="1" outlineLevel="2" x14ac:dyDescent="0.2"/>
    <row r="340" ht="30" customHeight="1" outlineLevel="1" x14ac:dyDescent="0.2"/>
    <row r="341" ht="30" customHeight="1" outlineLevel="2" x14ac:dyDescent="0.2"/>
    <row r="342" ht="30" customHeight="1" outlineLevel="3" x14ac:dyDescent="0.2"/>
    <row r="343" ht="30" customHeight="1" outlineLevel="3" x14ac:dyDescent="0.2"/>
    <row r="344" ht="30" customHeight="1" outlineLevel="3" x14ac:dyDescent="0.2"/>
    <row r="345" ht="30" customHeight="1" outlineLevel="3" x14ac:dyDescent="0.2"/>
    <row r="346" ht="30" customHeight="1" outlineLevel="2" x14ac:dyDescent="0.2"/>
    <row r="347" ht="30" customHeight="1" x14ac:dyDescent="0.2"/>
    <row r="348" ht="30" customHeight="1" outlineLevel="1" x14ac:dyDescent="0.2"/>
    <row r="349" ht="30" customHeight="1" outlineLevel="2" x14ac:dyDescent="0.2"/>
    <row r="350" ht="30" customHeight="1" outlineLevel="2" x14ac:dyDescent="0.2"/>
    <row r="351" ht="30" customHeight="1" outlineLevel="2" x14ac:dyDescent="0.2"/>
    <row r="352" ht="30" customHeight="1" outlineLevel="3" x14ac:dyDescent="0.2"/>
    <row r="353" ht="30" customHeight="1" outlineLevel="3" x14ac:dyDescent="0.2"/>
    <row r="354" ht="30" customHeight="1" outlineLevel="3" x14ac:dyDescent="0.2"/>
    <row r="355" ht="30" customHeight="1" outlineLevel="3" x14ac:dyDescent="0.2"/>
    <row r="356" ht="30" customHeight="1" outlineLevel="3" x14ac:dyDescent="0.2"/>
    <row r="357" ht="30" customHeight="1" outlineLevel="3" x14ac:dyDescent="0.2"/>
    <row r="358" ht="30" customHeight="1" outlineLevel="3" x14ac:dyDescent="0.2"/>
    <row r="359" ht="30" customHeight="1" outlineLevel="3" x14ac:dyDescent="0.2"/>
    <row r="360" ht="30" customHeight="1" outlineLevel="2" x14ac:dyDescent="0.2"/>
    <row r="361" ht="30" customHeight="1" outlineLevel="1" x14ac:dyDescent="0.2"/>
    <row r="362" ht="30" customHeight="1" outlineLevel="2" x14ac:dyDescent="0.2"/>
    <row r="363" ht="30" customHeight="1" outlineLevel="2" x14ac:dyDescent="0.2"/>
    <row r="364" ht="30" customHeight="1" outlineLevel="2" x14ac:dyDescent="0.2"/>
    <row r="365" ht="30" customHeight="1" outlineLevel="3" x14ac:dyDescent="0.2"/>
    <row r="366" ht="30" customHeight="1" outlineLevel="3" x14ac:dyDescent="0.2"/>
    <row r="367" ht="30" customHeight="1" outlineLevel="3" x14ac:dyDescent="0.2"/>
    <row r="368" ht="30" customHeight="1" outlineLevel="2" x14ac:dyDescent="0.2"/>
    <row r="369" ht="30" customHeight="1" outlineLevel="3" x14ac:dyDescent="0.2"/>
    <row r="370" ht="30" customHeight="1" outlineLevel="3" x14ac:dyDescent="0.2"/>
    <row r="371" ht="30" customHeight="1" outlineLevel="3" x14ac:dyDescent="0.2"/>
    <row r="372" ht="30" customHeight="1" outlineLevel="3" x14ac:dyDescent="0.2"/>
    <row r="373" ht="30" customHeight="1" outlineLevel="3" x14ac:dyDescent="0.2"/>
    <row r="374" ht="30" customHeight="1" outlineLevel="2" x14ac:dyDescent="0.2"/>
    <row r="375" ht="30" customHeight="1" outlineLevel="3" x14ac:dyDescent="0.2"/>
    <row r="376" ht="30" customHeight="1" outlineLevel="3" x14ac:dyDescent="0.2"/>
    <row r="377" ht="30" customHeight="1" outlineLevel="3" x14ac:dyDescent="0.2"/>
    <row r="378" ht="30" customHeight="1" outlineLevel="1" x14ac:dyDescent="0.2"/>
    <row r="379" ht="30" customHeight="1" outlineLevel="2" x14ac:dyDescent="0.2"/>
    <row r="380" ht="30" customHeight="1" outlineLevel="2" x14ac:dyDescent="0.2"/>
    <row r="381" ht="30" customHeight="1" outlineLevel="3" x14ac:dyDescent="0.2"/>
    <row r="382" ht="30" customHeight="1" outlineLevel="3" x14ac:dyDescent="0.2"/>
    <row r="383" ht="30" customHeight="1" outlineLevel="3" x14ac:dyDescent="0.2"/>
    <row r="384" ht="30" customHeight="1" outlineLevel="3" x14ac:dyDescent="0.2"/>
    <row r="385" ht="30" customHeight="1" outlineLevel="3" x14ac:dyDescent="0.2"/>
    <row r="386" ht="30" customHeight="1" outlineLevel="2" x14ac:dyDescent="0.2"/>
    <row r="387" ht="30" customHeight="1" outlineLevel="2" x14ac:dyDescent="0.2"/>
    <row r="388" ht="30" customHeight="1" outlineLevel="2" x14ac:dyDescent="0.2"/>
    <row r="389" ht="30" customHeight="1" outlineLevel="2" x14ac:dyDescent="0.2"/>
    <row r="390" ht="30" customHeight="1" outlineLevel="2" x14ac:dyDescent="0.2"/>
    <row r="391" ht="30" customHeight="1" outlineLevel="1" x14ac:dyDescent="0.2"/>
    <row r="392" ht="30" customHeight="1" outlineLevel="2" x14ac:dyDescent="0.2"/>
    <row r="393" ht="30" customHeight="1" outlineLevel="2" x14ac:dyDescent="0.2"/>
    <row r="394" ht="30" customHeight="1" outlineLevel="2" x14ac:dyDescent="0.2"/>
    <row r="395" ht="30" customHeight="1" outlineLevel="2" x14ac:dyDescent="0.2"/>
    <row r="396" ht="30" customHeight="1" outlineLevel="1" x14ac:dyDescent="0.2"/>
    <row r="397" ht="30" customHeight="1" outlineLevel="2" x14ac:dyDescent="0.2"/>
    <row r="398" ht="30" customHeight="1" outlineLevel="3" x14ac:dyDescent="0.2"/>
    <row r="399" ht="30" customHeight="1" outlineLevel="3" x14ac:dyDescent="0.2"/>
    <row r="400" ht="30" customHeight="1" outlineLevel="2" x14ac:dyDescent="0.2"/>
    <row r="401" ht="30" customHeight="1" outlineLevel="3" x14ac:dyDescent="0.2"/>
    <row r="402" ht="30" customHeight="1" outlineLevel="3" x14ac:dyDescent="0.2"/>
    <row r="403" ht="30" customHeight="1" x14ac:dyDescent="0.2"/>
    <row r="404" ht="30" customHeight="1" outlineLevel="1" x14ac:dyDescent="0.2"/>
    <row r="405" ht="30" customHeight="1" outlineLevel="1" x14ac:dyDescent="0.2"/>
    <row r="406" ht="30" customHeight="1" outlineLevel="1" x14ac:dyDescent="0.2"/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89E3-35AB-4F65-89F0-D15E03840F25}">
  <sheetPr codeName="Ark30">
    <tabColor rgb="FFFF0000"/>
  </sheetPr>
  <dimension ref="A1:AG37"/>
  <sheetViews>
    <sheetView workbookViewId="0"/>
  </sheetViews>
  <sheetFormatPr defaultRowHeight="15" outlineLevelCol="2" x14ac:dyDescent="0.25"/>
  <cols>
    <col min="1" max="2" width="11.42578125" customWidth="1"/>
    <col min="3" max="3" width="82.28515625" customWidth="1"/>
    <col min="4" max="4" width="12" style="63" customWidth="1" outlineLevel="1"/>
    <col min="5" max="5" width="11" customWidth="1" outlineLevel="1"/>
    <col min="6" max="6" width="26.28515625" style="63" customWidth="1" outlineLevel="1"/>
    <col min="7" max="7" width="17.28515625" style="63" customWidth="1" outlineLevel="1"/>
    <col min="8" max="8" width="14.42578125" style="63" customWidth="1" outlineLevel="2"/>
    <col min="9" max="9" width="15.7109375" style="63" customWidth="1" outlineLevel="2"/>
    <col min="10" max="10" width="50.140625" style="63" bestFit="1" customWidth="1" outlineLevel="2"/>
    <col min="11" max="11" width="19.42578125" style="63" bestFit="1" customWidth="1" outlineLevel="2"/>
    <col min="12" max="12" width="20.7109375" style="63" bestFit="1" customWidth="1" outlineLevel="2"/>
    <col min="13" max="13" width="14.7109375" style="63" customWidth="1" outlineLevel="2"/>
    <col min="14" max="14" width="16.28515625" style="63" customWidth="1" outlineLevel="2"/>
    <col min="15" max="15" width="17" style="63" customWidth="1" outlineLevel="2"/>
    <col min="16" max="16" width="14.140625" style="63" customWidth="1" outlineLevel="1"/>
    <col min="17" max="17" width="15.140625" style="68" customWidth="1" outlineLevel="1"/>
    <col min="18" max="18" width="16.28515625" bestFit="1" customWidth="1" outlineLevel="1"/>
    <col min="19" max="19" width="16.28515625" customWidth="1" outlineLevel="1"/>
    <col min="20" max="20" width="15.85546875" customWidth="1" outlineLevel="1"/>
    <col min="21" max="21" width="10.42578125" customWidth="1" outlineLevel="1"/>
    <col min="22" max="22" width="12.28515625" customWidth="1" outlineLevel="1"/>
    <col min="23" max="23" width="21.42578125" customWidth="1" outlineLevel="1"/>
    <col min="24" max="24" width="16.28515625" bestFit="1" customWidth="1"/>
    <col min="25" max="25" width="12.140625" customWidth="1"/>
    <col min="26" max="26" width="22.85546875" customWidth="1"/>
    <col min="27" max="27" width="25.140625" customWidth="1"/>
    <col min="29" max="29" width="28.7109375" bestFit="1" customWidth="1"/>
  </cols>
  <sheetData>
    <row r="1" spans="1:33" ht="51" x14ac:dyDescent="0.25">
      <c r="A1" s="56" t="s">
        <v>1</v>
      </c>
      <c r="B1" s="71" t="s">
        <v>1241</v>
      </c>
      <c r="C1" s="56" t="s">
        <v>816</v>
      </c>
      <c r="D1" s="64" t="s">
        <v>817</v>
      </c>
      <c r="E1" s="56" t="s">
        <v>818</v>
      </c>
      <c r="F1" s="64" t="s">
        <v>819</v>
      </c>
      <c r="G1" s="64" t="s">
        <v>814</v>
      </c>
      <c r="H1" s="61" t="s">
        <v>1097</v>
      </c>
      <c r="I1" s="61" t="s">
        <v>1096</v>
      </c>
      <c r="J1" s="61" t="s">
        <v>1099</v>
      </c>
      <c r="K1" s="61" t="s">
        <v>1098</v>
      </c>
      <c r="L1" s="61" t="s">
        <v>1101</v>
      </c>
      <c r="M1" s="61" t="s">
        <v>1100</v>
      </c>
      <c r="N1" s="61" t="s">
        <v>1103</v>
      </c>
      <c r="O1" s="70" t="s">
        <v>1102</v>
      </c>
      <c r="P1" s="65" t="s">
        <v>820</v>
      </c>
      <c r="Q1" s="65" t="s">
        <v>821</v>
      </c>
      <c r="R1" s="69" t="s">
        <v>822</v>
      </c>
      <c r="S1" s="55" t="s">
        <v>812</v>
      </c>
      <c r="T1" s="55" t="s">
        <v>823</v>
      </c>
      <c r="U1" s="55" t="s">
        <v>824</v>
      </c>
      <c r="V1" s="55" t="s">
        <v>815</v>
      </c>
      <c r="W1" s="56" t="s">
        <v>826</v>
      </c>
      <c r="X1" s="56" t="s">
        <v>827</v>
      </c>
      <c r="Y1" s="56" t="s">
        <v>828</v>
      </c>
      <c r="Z1" s="56" t="s">
        <v>829</v>
      </c>
      <c r="AA1" s="56" t="s">
        <v>830</v>
      </c>
      <c r="AB1" s="57" t="s">
        <v>831</v>
      </c>
      <c r="AC1" s="58" t="s">
        <v>1240</v>
      </c>
      <c r="AD1" s="62" t="s">
        <v>1106</v>
      </c>
      <c r="AE1" s="62" t="s">
        <v>1092</v>
      </c>
      <c r="AF1" s="62" t="s">
        <v>1093</v>
      </c>
      <c r="AG1" s="62" t="s">
        <v>1094</v>
      </c>
    </row>
    <row r="2" spans="1:33" x14ac:dyDescent="0.25">
      <c r="D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3"/>
    </row>
    <row r="3" spans="1:33" s="60" customFormat="1" x14ac:dyDescent="0.25">
      <c r="A3" s="74" t="s">
        <v>1236</v>
      </c>
      <c r="B3" s="75"/>
      <c r="C3" s="74" t="s">
        <v>1246</v>
      </c>
      <c r="D3" s="76"/>
      <c r="E3" s="74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7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8"/>
      <c r="AE3" s="78"/>
      <c r="AF3" s="78"/>
      <c r="AG3" s="78"/>
    </row>
    <row r="4" spans="1:33" x14ac:dyDescent="0.25">
      <c r="A4" t="s">
        <v>1266</v>
      </c>
      <c r="C4" t="s">
        <v>739</v>
      </c>
      <c r="D4" s="72"/>
      <c r="F4" s="72"/>
      <c r="G4" s="84"/>
      <c r="H4" s="72"/>
      <c r="I4" s="72"/>
      <c r="J4" s="72"/>
      <c r="K4" s="72"/>
      <c r="L4" s="72"/>
      <c r="M4" s="72"/>
      <c r="N4" s="72"/>
      <c r="O4" s="72"/>
      <c r="P4" s="72"/>
      <c r="Q4" s="72"/>
      <c r="R4" s="73"/>
    </row>
    <row r="5" spans="1:33" x14ac:dyDescent="0.25">
      <c r="A5" t="s">
        <v>1267</v>
      </c>
      <c r="C5" t="s">
        <v>1247</v>
      </c>
      <c r="D5" s="72"/>
      <c r="F5" s="72"/>
      <c r="G5" s="84"/>
      <c r="H5" s="72"/>
      <c r="I5" s="72"/>
      <c r="J5" s="72"/>
      <c r="K5" s="72"/>
      <c r="L5" s="72"/>
      <c r="M5" s="72"/>
      <c r="N5" s="72"/>
      <c r="O5" s="72"/>
      <c r="P5" s="72"/>
      <c r="Q5" s="72"/>
      <c r="R5" s="73"/>
    </row>
    <row r="6" spans="1:33" s="60" customFormat="1" x14ac:dyDescent="0.25">
      <c r="A6" s="74" t="s">
        <v>1237</v>
      </c>
      <c r="B6" s="75"/>
      <c r="C6" s="74" t="s">
        <v>1242</v>
      </c>
      <c r="D6" s="76"/>
      <c r="E6" s="74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7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8"/>
      <c r="AE6" s="78"/>
      <c r="AF6" s="78"/>
      <c r="AG6" s="78"/>
    </row>
    <row r="7" spans="1:33" x14ac:dyDescent="0.25">
      <c r="A7" t="s">
        <v>1268</v>
      </c>
      <c r="C7" t="s">
        <v>1090</v>
      </c>
      <c r="D7" s="72"/>
      <c r="F7" s="72"/>
      <c r="G7" s="84"/>
      <c r="H7" s="72"/>
      <c r="I7" s="72"/>
      <c r="J7" s="72"/>
      <c r="K7" s="72"/>
      <c r="L7" s="72"/>
      <c r="M7" s="72"/>
      <c r="N7" s="72"/>
      <c r="O7" s="72"/>
      <c r="P7" s="72"/>
      <c r="Q7" s="72"/>
      <c r="R7" s="73"/>
    </row>
    <row r="8" spans="1:33" x14ac:dyDescent="0.25">
      <c r="A8" t="s">
        <v>1269</v>
      </c>
      <c r="C8" t="s">
        <v>1248</v>
      </c>
      <c r="D8" s="72"/>
      <c r="F8" s="72"/>
      <c r="G8" s="84"/>
      <c r="H8" s="72"/>
      <c r="I8" s="72"/>
      <c r="J8" s="72"/>
      <c r="K8" s="72"/>
      <c r="L8" s="72"/>
      <c r="M8" s="72"/>
      <c r="N8" s="72"/>
      <c r="O8" s="72"/>
      <c r="P8" s="72"/>
      <c r="Q8" s="72"/>
      <c r="R8" s="73"/>
    </row>
    <row r="9" spans="1:33" s="60" customFormat="1" x14ac:dyDescent="0.25">
      <c r="A9" s="74" t="s">
        <v>1238</v>
      </c>
      <c r="B9" s="75"/>
      <c r="C9" s="74" t="s">
        <v>1243</v>
      </c>
      <c r="D9" s="76"/>
      <c r="E9" s="74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7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8"/>
      <c r="AE9" s="78"/>
      <c r="AF9" s="78"/>
      <c r="AG9" s="78"/>
    </row>
    <row r="10" spans="1:33" x14ac:dyDescent="0.25">
      <c r="A10" t="s">
        <v>1270</v>
      </c>
      <c r="C10" t="s">
        <v>1249</v>
      </c>
      <c r="D10" s="72"/>
      <c r="F10" s="72"/>
      <c r="G10" s="84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3"/>
    </row>
    <row r="11" spans="1:33" x14ac:dyDescent="0.25">
      <c r="A11" t="s">
        <v>1271</v>
      </c>
      <c r="C11" t="s">
        <v>1239</v>
      </c>
      <c r="D11" s="72"/>
      <c r="F11" s="72"/>
      <c r="G11" s="84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3"/>
    </row>
    <row r="12" spans="1:33" x14ac:dyDescent="0.25">
      <c r="A12" t="s">
        <v>1272</v>
      </c>
      <c r="C12" s="59" t="s">
        <v>1250</v>
      </c>
      <c r="D12" s="72"/>
      <c r="F12" s="72"/>
      <c r="G12" s="84"/>
      <c r="H12" s="72"/>
      <c r="I12" s="72"/>
      <c r="J12" s="72"/>
      <c r="K12" s="72"/>
      <c r="L12" s="72"/>
      <c r="M12" s="79"/>
      <c r="N12" s="72"/>
      <c r="O12" s="72"/>
      <c r="P12" s="72"/>
      <c r="Q12" s="72"/>
      <c r="R12" s="73"/>
    </row>
    <row r="13" spans="1:33" x14ac:dyDescent="0.25">
      <c r="A13" t="s">
        <v>1273</v>
      </c>
      <c r="C13" t="s">
        <v>1251</v>
      </c>
      <c r="D13" s="72"/>
      <c r="F13" s="72"/>
      <c r="G13" s="84"/>
      <c r="H13" s="72"/>
      <c r="I13" s="72"/>
      <c r="J13" s="72"/>
      <c r="K13" s="72"/>
      <c r="L13" s="72"/>
      <c r="M13" s="79"/>
      <c r="N13" s="72"/>
      <c r="O13" s="72"/>
      <c r="P13" s="72"/>
      <c r="Q13" s="72"/>
      <c r="R13" s="73"/>
    </row>
    <row r="14" spans="1:33" s="60" customFormat="1" x14ac:dyDescent="0.25">
      <c r="A14" s="74" t="s">
        <v>1261</v>
      </c>
      <c r="B14" s="75"/>
      <c r="C14" s="74" t="s">
        <v>833</v>
      </c>
      <c r="D14" s="76"/>
      <c r="E14" s="74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7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8"/>
      <c r="AE14" s="78"/>
      <c r="AF14" s="78"/>
      <c r="AG14" s="78"/>
    </row>
    <row r="15" spans="1:33" x14ac:dyDescent="0.25">
      <c r="A15" t="s">
        <v>1274</v>
      </c>
      <c r="C15" t="s">
        <v>1249</v>
      </c>
      <c r="D15" s="72"/>
      <c r="F15" s="72"/>
      <c r="G15" s="84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3"/>
    </row>
    <row r="16" spans="1:33" x14ac:dyDescent="0.25">
      <c r="A16" t="s">
        <v>1275</v>
      </c>
      <c r="C16" t="s">
        <v>1239</v>
      </c>
      <c r="D16" s="72"/>
      <c r="F16" s="72"/>
      <c r="G16" s="8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3"/>
    </row>
    <row r="17" spans="1:33" s="60" customFormat="1" x14ac:dyDescent="0.25">
      <c r="A17" s="74" t="s">
        <v>1262</v>
      </c>
      <c r="B17" s="75"/>
      <c r="C17" s="74" t="s">
        <v>1252</v>
      </c>
      <c r="D17" s="76"/>
      <c r="E17" s="74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7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8"/>
      <c r="AE17" s="78"/>
      <c r="AF17" s="78"/>
      <c r="AG17" s="78"/>
    </row>
    <row r="18" spans="1:33" x14ac:dyDescent="0.25">
      <c r="A18" t="s">
        <v>1276</v>
      </c>
      <c r="C18" t="s">
        <v>1249</v>
      </c>
      <c r="D18" s="72"/>
      <c r="F18" s="72"/>
      <c r="G18" s="8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3"/>
      <c r="AC18" s="83"/>
    </row>
    <row r="19" spans="1:33" x14ac:dyDescent="0.25">
      <c r="A19" t="s">
        <v>1277</v>
      </c>
      <c r="C19" t="s">
        <v>1239</v>
      </c>
      <c r="D19" s="72"/>
      <c r="F19" s="72"/>
      <c r="G19" s="8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3"/>
    </row>
    <row r="20" spans="1:33" s="60" customFormat="1" x14ac:dyDescent="0.25">
      <c r="A20" s="74" t="s">
        <v>1263</v>
      </c>
      <c r="B20" s="75"/>
      <c r="C20" s="74" t="s">
        <v>1244</v>
      </c>
      <c r="D20" s="76"/>
      <c r="E20" s="74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7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8"/>
      <c r="AE20" s="78"/>
      <c r="AF20" s="78"/>
      <c r="AG20" s="78"/>
    </row>
    <row r="21" spans="1:33" x14ac:dyDescent="0.25">
      <c r="A21" t="s">
        <v>1278</v>
      </c>
      <c r="C21" t="s">
        <v>1249</v>
      </c>
      <c r="D21" s="72"/>
      <c r="F21" s="72"/>
      <c r="G21" s="84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3"/>
    </row>
    <row r="22" spans="1:33" x14ac:dyDescent="0.25">
      <c r="A22" t="s">
        <v>1279</v>
      </c>
      <c r="C22" s="59" t="s">
        <v>1239</v>
      </c>
      <c r="D22" s="72"/>
      <c r="F22" s="72"/>
      <c r="G22" s="84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3"/>
    </row>
    <row r="23" spans="1:33" x14ac:dyDescent="0.25">
      <c r="A23" t="s">
        <v>1280</v>
      </c>
      <c r="C23" s="59" t="s">
        <v>1253</v>
      </c>
      <c r="D23" s="72"/>
      <c r="F23" s="72"/>
      <c r="G23" s="84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3"/>
    </row>
    <row r="24" spans="1:33" s="60" customFormat="1" x14ac:dyDescent="0.25">
      <c r="A24" s="74" t="s">
        <v>1264</v>
      </c>
      <c r="B24" s="75"/>
      <c r="C24" s="74" t="s">
        <v>1245</v>
      </c>
      <c r="D24" s="76"/>
      <c r="E24" s="74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7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8"/>
      <c r="AE24" s="78"/>
      <c r="AF24" s="78"/>
      <c r="AG24" s="78"/>
    </row>
    <row r="25" spans="1:33" x14ac:dyDescent="0.25">
      <c r="A25" t="s">
        <v>1281</v>
      </c>
      <c r="C25" t="s">
        <v>1249</v>
      </c>
      <c r="D25" s="72"/>
      <c r="F25" s="72"/>
      <c r="G25" s="84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3"/>
    </row>
    <row r="26" spans="1:33" x14ac:dyDescent="0.25">
      <c r="A26" t="s">
        <v>1282</v>
      </c>
      <c r="C26" s="59" t="s">
        <v>1239</v>
      </c>
      <c r="D26" s="72"/>
      <c r="F26" s="72"/>
      <c r="G26" s="84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3"/>
    </row>
    <row r="27" spans="1:33" s="80" customFormat="1" x14ac:dyDescent="0.25">
      <c r="A27" t="s">
        <v>1283</v>
      </c>
      <c r="C27" s="80" t="s">
        <v>1254</v>
      </c>
      <c r="D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2"/>
    </row>
    <row r="28" spans="1:33" s="90" customFormat="1" x14ac:dyDescent="0.25">
      <c r="A28"/>
      <c r="C28" s="91" t="s">
        <v>1255</v>
      </c>
      <c r="D28" s="92"/>
      <c r="F28" s="92"/>
      <c r="G28" s="92"/>
      <c r="H28" s="93"/>
      <c r="I28" s="93"/>
      <c r="J28" s="93"/>
      <c r="K28" s="93"/>
      <c r="L28" s="93"/>
      <c r="M28" s="93"/>
      <c r="N28" s="93"/>
      <c r="O28" s="93"/>
      <c r="P28" s="92"/>
      <c r="Q28" s="92"/>
      <c r="R28" s="94"/>
    </row>
    <row r="29" spans="1:33" s="90" customFormat="1" x14ac:dyDescent="0.25">
      <c r="C29" s="91" t="s">
        <v>1256</v>
      </c>
      <c r="D29" s="92"/>
      <c r="F29" s="92"/>
      <c r="G29" s="92"/>
      <c r="H29" s="93"/>
      <c r="I29" s="93"/>
      <c r="J29" s="93"/>
      <c r="K29" s="93"/>
      <c r="L29" s="93"/>
      <c r="M29" s="93"/>
      <c r="N29" s="93"/>
      <c r="O29" s="93"/>
      <c r="P29" s="92"/>
      <c r="Q29" s="92"/>
      <c r="R29" s="94"/>
    </row>
    <row r="30" spans="1:33" s="90" customFormat="1" x14ac:dyDescent="0.25">
      <c r="C30" s="91" t="s">
        <v>1257</v>
      </c>
      <c r="D30" s="92"/>
      <c r="F30" s="92"/>
      <c r="G30" s="92"/>
      <c r="H30" s="93"/>
      <c r="I30" s="93"/>
      <c r="J30" s="93"/>
      <c r="K30" s="93"/>
      <c r="L30" s="93"/>
      <c r="M30" s="93"/>
      <c r="N30" s="93"/>
      <c r="O30" s="93"/>
      <c r="P30" s="92"/>
      <c r="Q30" s="92"/>
      <c r="R30" s="94"/>
    </row>
    <row r="31" spans="1:33" s="90" customFormat="1" x14ac:dyDescent="0.25">
      <c r="C31" s="91" t="s">
        <v>1258</v>
      </c>
      <c r="D31" s="92"/>
      <c r="F31" s="92"/>
      <c r="G31" s="92"/>
      <c r="H31" s="93"/>
      <c r="I31" s="93"/>
      <c r="J31" s="93"/>
      <c r="K31" s="93"/>
      <c r="L31" s="93"/>
      <c r="M31" s="93"/>
      <c r="N31" s="93"/>
      <c r="O31" s="93"/>
      <c r="P31" s="92"/>
      <c r="Q31" s="92"/>
      <c r="R31" s="94"/>
    </row>
    <row r="32" spans="1:33" s="90" customFormat="1" x14ac:dyDescent="0.25">
      <c r="C32" s="91" t="s">
        <v>1259</v>
      </c>
      <c r="D32" s="92"/>
      <c r="F32" s="92"/>
      <c r="G32" s="92"/>
      <c r="H32" s="93"/>
      <c r="I32" s="93"/>
      <c r="J32" s="93"/>
      <c r="K32" s="93"/>
      <c r="L32" s="93"/>
      <c r="M32" s="93"/>
      <c r="N32" s="93"/>
      <c r="O32" s="93"/>
      <c r="P32" s="92"/>
      <c r="Q32" s="92"/>
      <c r="R32" s="94"/>
    </row>
    <row r="33" spans="3:18" s="90" customFormat="1" x14ac:dyDescent="0.25">
      <c r="C33" s="91" t="s">
        <v>834</v>
      </c>
      <c r="D33" s="92"/>
      <c r="F33" s="92"/>
      <c r="G33" s="92"/>
      <c r="H33" s="93"/>
      <c r="I33" s="93"/>
      <c r="J33" s="93"/>
      <c r="K33" s="93"/>
      <c r="L33" s="93"/>
      <c r="M33" s="93"/>
      <c r="N33" s="93"/>
      <c r="O33" s="93"/>
      <c r="P33" s="92"/>
      <c r="Q33" s="92"/>
      <c r="R33" s="94"/>
    </row>
    <row r="34" spans="3:18" s="90" customFormat="1" x14ac:dyDescent="0.25">
      <c r="C34" s="91" t="s">
        <v>1260</v>
      </c>
      <c r="D34" s="92"/>
      <c r="F34" s="92"/>
      <c r="G34" s="92"/>
      <c r="H34" s="93"/>
      <c r="I34" s="93"/>
      <c r="J34" s="93"/>
      <c r="K34" s="93"/>
      <c r="L34" s="93"/>
      <c r="M34" s="93"/>
      <c r="N34" s="93"/>
      <c r="O34" s="93"/>
      <c r="P34" s="92"/>
      <c r="Q34" s="92"/>
      <c r="R34" s="94"/>
    </row>
    <row r="35" spans="3:18" x14ac:dyDescent="0.25">
      <c r="J35"/>
      <c r="K35"/>
    </row>
    <row r="36" spans="3:18" x14ac:dyDescent="0.25">
      <c r="J36"/>
      <c r="K36"/>
    </row>
    <row r="37" spans="3:18" x14ac:dyDescent="0.25">
      <c r="J37"/>
      <c r="K3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9E9F9A99-295B-4315-BCC8-AF3610F8992C}">
  <ds:schemaRefs/>
</ds:datastoreItem>
</file>

<file path=customXml/itemProps2.xml><?xml version="1.0" encoding="utf-8"?>
<ds:datastoreItem xmlns:ds="http://schemas.openxmlformats.org/officeDocument/2006/customXml" ds:itemID="{B24AC84E-F5A7-429D-B633-AEEFD776FC59}">
  <ds:schemaRefs/>
</ds:datastoreItem>
</file>

<file path=customXml/itemProps3.xml><?xml version="1.0" encoding="utf-8"?>
<ds:datastoreItem xmlns:ds="http://schemas.openxmlformats.org/officeDocument/2006/customXml" ds:itemID="{309C5EE9-326E-47CB-A35D-9B57A6690659}">
  <ds:schemaRefs/>
</ds:datastoreItem>
</file>

<file path=customXml/itemProps4.xml><?xml version="1.0" encoding="utf-8"?>
<ds:datastoreItem xmlns:ds="http://schemas.openxmlformats.org/officeDocument/2006/customXml" ds:itemID="{30233126-8A19-4350-AE40-3B90E38F7E81}">
  <ds:schemaRefs/>
</ds:datastoreItem>
</file>

<file path=customXml/itemProps5.xml><?xml version="1.0" encoding="utf-8"?>
<ds:datastoreItem xmlns:ds="http://schemas.openxmlformats.org/officeDocument/2006/customXml" ds:itemID="{3649E3DD-5C83-4F08-9601-8AF7FEFE4A19}">
  <ds:schemaRefs/>
</ds:datastoreItem>
</file>

<file path=customXml/itemProps6.xml><?xml version="1.0" encoding="utf-8"?>
<ds:datastoreItem xmlns:ds="http://schemas.openxmlformats.org/officeDocument/2006/customXml" ds:itemID="{13E1558E-C5B2-4399-8100-DF797180F88D}">
  <ds:schemaRefs/>
</ds:datastoreItem>
</file>

<file path=customXml/itemProps7.xml><?xml version="1.0" encoding="utf-8"?>
<ds:datastoreItem xmlns:ds="http://schemas.openxmlformats.org/officeDocument/2006/customXml" ds:itemID="{81F2A0EB-5B67-4158-8AAA-9234F630D087}">
  <ds:schemaRefs/>
</ds:datastoreItem>
</file>

<file path=customXml/itemProps8.xml><?xml version="1.0" encoding="utf-8"?>
<ds:datastoreItem xmlns:ds="http://schemas.openxmlformats.org/officeDocument/2006/customXml" ds:itemID="{2D24E564-C7BF-459D-BAC7-148346452D90}">
  <ds:schemaRefs/>
</ds:datastoreItem>
</file>

<file path=customXml/itemProps9.xml><?xml version="1.0" encoding="utf-8"?>
<ds:datastoreItem xmlns:ds="http://schemas.openxmlformats.org/officeDocument/2006/customXml" ds:itemID="{1DCC3360-317F-4FBD-BF6B-918C995611C5}">
  <ds:schemaRefs/>
</ds:datastoreItem>
</file>

<file path=customXml/itemProps10.xml><?xml version="1.0" encoding="utf-8"?>
<ds:datastoreItem xmlns:ds="http://schemas.openxmlformats.org/officeDocument/2006/customXml" ds:itemID="{47BBC7FC-985F-4A72-8772-8C422F5296E0}">
  <ds:schemaRefs/>
</ds:datastoreItem>
</file>

<file path=customXml/itemProps11.xml><?xml version="1.0" encoding="utf-8"?>
<ds:datastoreItem xmlns:ds="http://schemas.openxmlformats.org/officeDocument/2006/customXml" ds:itemID="{DDBA9E07-3114-4109-8967-E433BEABBE25}">
  <ds:schemaRefs/>
</ds:datastoreItem>
</file>

<file path=customXml/itemProps12.xml><?xml version="1.0" encoding="utf-8"?>
<ds:datastoreItem xmlns:ds="http://schemas.openxmlformats.org/officeDocument/2006/customXml" ds:itemID="{9A48EA90-EE71-40B8-BE99-BE29D7C8AF65}">
  <ds:schemaRefs/>
</ds:datastoreItem>
</file>

<file path=customXml/itemProps13.xml><?xml version="1.0" encoding="utf-8"?>
<ds:datastoreItem xmlns:ds="http://schemas.openxmlformats.org/officeDocument/2006/customXml" ds:itemID="{B439665C-ACD3-4B51-AC9D-E7363D4FA718}">
  <ds:schemaRefs/>
</ds:datastoreItem>
</file>

<file path=customXml/itemProps14.xml><?xml version="1.0" encoding="utf-8"?>
<ds:datastoreItem xmlns:ds="http://schemas.openxmlformats.org/officeDocument/2006/customXml" ds:itemID="{94EB9383-943B-49A7-B584-4C450C428FAE}">
  <ds:schemaRefs/>
</ds:datastoreItem>
</file>

<file path=customXml/itemProps15.xml><?xml version="1.0" encoding="utf-8"?>
<ds:datastoreItem xmlns:ds="http://schemas.openxmlformats.org/officeDocument/2006/customXml" ds:itemID="{D125B956-70F5-4455-BD94-CD2CCDB012B0}">
  <ds:schemaRefs/>
</ds:datastoreItem>
</file>

<file path=customXml/itemProps16.xml><?xml version="1.0" encoding="utf-8"?>
<ds:datastoreItem xmlns:ds="http://schemas.openxmlformats.org/officeDocument/2006/customXml" ds:itemID="{5173D6C3-94AF-4B7B-B4FA-FD2814746A50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8E2D0C1F-9FA4-4E4D-BB90-46CE19D933B7}">
  <ds:schemaRefs/>
</ds:datastoreItem>
</file>

<file path=customXml/itemProps18.xml><?xml version="1.0" encoding="utf-8"?>
<ds:datastoreItem xmlns:ds="http://schemas.openxmlformats.org/officeDocument/2006/customXml" ds:itemID="{49ED1663-7AF3-4D20-8B0C-4D27D5EEA3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Niveau_1</vt:lpstr>
      <vt:lpstr>Niveau_2</vt:lpstr>
      <vt:lpstr>Xlookup_back</vt:lpstr>
      <vt:lpstr>Xlookup_frem</vt:lpstr>
      <vt:lpstr>Niveau_3</vt:lpstr>
      <vt:lpstr>Central_classifikation</vt:lpstr>
      <vt:lpstr>Template</vt:lpstr>
      <vt:lpstr>Central template</vt:lpstr>
      <vt:lpstr>MOE2</vt:lpstr>
    </vt:vector>
  </TitlesOfParts>
  <Company>MOE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August Thygesen</cp:lastModifiedBy>
  <cp:lastPrinted>2020-09-21T13:55:12Z</cp:lastPrinted>
  <dcterms:created xsi:type="dcterms:W3CDTF">2019-08-07T08:19:17Z</dcterms:created>
  <dcterms:modified xsi:type="dcterms:W3CDTF">2026-04-28T13:28:05Z</dcterms:modified>
</cp:coreProperties>
</file>